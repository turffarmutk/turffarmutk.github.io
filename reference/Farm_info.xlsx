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onmccallum/Documents/GitHub/UT-TurfFarm-app/reference/"/>
    </mc:Choice>
  </mc:AlternateContent>
  <xr:revisionPtr revIDLastSave="0" documentId="13_ncr:1_{04D49DC0-8CBC-5D4A-ABB1-E0FBF37A640C}" xr6:coauthVersionLast="47" xr6:coauthVersionMax="47" xr10:uidLastSave="{00000000-0000-0000-0000-000000000000}"/>
  <bookViews>
    <workbookView xWindow="0" yWindow="500" windowWidth="35840" windowHeight="21900" activeTab="4" xr2:uid="{00000000-000D-0000-FFFF-FFFF00000000}"/>
  </bookViews>
  <sheets>
    <sheet name="Plots" sheetId="1" r:id="rId1"/>
    <sheet name="Tasks" sheetId="2" r:id="rId2"/>
    <sheet name="Equipment" sheetId="3" r:id="rId3"/>
    <sheet name="Inventory" sheetId="4" r:id="rId4"/>
    <sheet name="Rost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73" i="1"/>
</calcChain>
</file>

<file path=xl/sharedStrings.xml><?xml version="1.0" encoding="utf-8"?>
<sst xmlns="http://schemas.openxmlformats.org/spreadsheetml/2006/main" count="2749" uniqueCount="573">
  <si>
    <t>Category</t>
  </si>
  <si>
    <t>Name</t>
  </si>
  <si>
    <t>Equipment</t>
  </si>
  <si>
    <t>Plots</t>
  </si>
  <si>
    <t>Mow</t>
  </si>
  <si>
    <t>Rotary - Plots</t>
  </si>
  <si>
    <t>John Deere Z915E, Greenworks Optimus Z</t>
  </si>
  <si>
    <t>Rotary - Alleys</t>
  </si>
  <si>
    <t>Rotary - Borders</t>
  </si>
  <si>
    <t>Walk - Dennis</t>
  </si>
  <si>
    <t>Dennis G860, Dennis Premier 2</t>
  </si>
  <si>
    <t>Fairway</t>
  </si>
  <si>
    <t>John Deere 7700</t>
  </si>
  <si>
    <t>John Deere 2653</t>
  </si>
  <si>
    <t>Greens - Triplex</t>
  </si>
  <si>
    <t>John Deere 2550, Toro Greenmaster 3300 TriFlex</t>
  </si>
  <si>
    <t>Greens - Walk</t>
  </si>
  <si>
    <t>Toro Greenmaster flex 2100</t>
  </si>
  <si>
    <t>Paint</t>
  </si>
  <si>
    <t>Trial Dots</t>
  </si>
  <si>
    <t>Paint Gun</t>
  </si>
  <si>
    <t>Spray</t>
  </si>
  <si>
    <t>Pesticide - Boom</t>
  </si>
  <si>
    <t>John Deere HD200</t>
  </si>
  <si>
    <t>Pesticide - Backpack</t>
  </si>
  <si>
    <t>RedMax 1 or RedMax 2 or Smith Professional or Husqvarna or King Promax</t>
  </si>
  <si>
    <t>Fertilizer</t>
  </si>
  <si>
    <t>RedMax, RedMax, Smith Professional, Husqvarna, King Promax</t>
  </si>
  <si>
    <t>Fertilize</t>
  </si>
  <si>
    <t>Granular</t>
  </si>
  <si>
    <t>Anderson Spreader</t>
  </si>
  <si>
    <t>Aeration</t>
  </si>
  <si>
    <t>Tractor-Mounted</t>
  </si>
  <si>
    <t>John Deere 4005 or Kioti DK 5320 SE HST, STI Trafficker</t>
  </si>
  <si>
    <t>Miscellaneous</t>
  </si>
  <si>
    <t>Traffic Plots</t>
  </si>
  <si>
    <t>Toro ProCore 648</t>
  </si>
  <si>
    <t>Cultivation</t>
  </si>
  <si>
    <t>Bleckavate</t>
  </si>
  <si>
    <t>John Deere 4005 or Kioti DK 5320 SE HST, STEC Bleckavater</t>
  </si>
  <si>
    <t>Fraise Mow</t>
  </si>
  <si>
    <t>John Deere 4005 or Kioti DK 5320 SE HST, GKB CB120</t>
  </si>
  <si>
    <t>Irrigation</t>
  </si>
  <si>
    <t>Valve - Fix</t>
  </si>
  <si>
    <t>Head - Fix</t>
  </si>
  <si>
    <t>Maintanence</t>
  </si>
  <si>
    <t>Reels - Grind</t>
  </si>
  <si>
    <t>Foley 633 Accu-Pro AC or Foley 642 Quick-Spin</t>
  </si>
  <si>
    <t>Bed Knife - Grind</t>
  </si>
  <si>
    <t>Foley 672 Accu-Pro</t>
  </si>
  <si>
    <t>Reels - Backlap</t>
  </si>
  <si>
    <t>Oil Change</t>
  </si>
  <si>
    <t>Topdress - Rotary</t>
  </si>
  <si>
    <t>John Deere ProGator, Dakota Turf Tender 410</t>
  </si>
  <si>
    <t>Topdress - Drop</t>
  </si>
  <si>
    <t>John Deere ProGator, Toro Top Dresser 2500</t>
  </si>
  <si>
    <t>Weedeat</t>
  </si>
  <si>
    <t>Greenworks Optimus or EGO Weedeater or Stihl Weedeater</t>
  </si>
  <si>
    <t>Hand Water</t>
  </si>
  <si>
    <t>Number</t>
  </si>
  <si>
    <t>Area Name</t>
  </si>
  <si>
    <t>Plot Name</t>
  </si>
  <si>
    <t>Plot Area (sq ft)</t>
  </si>
  <si>
    <t>Turfgrass</t>
  </si>
  <si>
    <t>Cultivar</t>
  </si>
  <si>
    <t>Hybrid</t>
  </si>
  <si>
    <t>Type</t>
  </si>
  <si>
    <t>Face Weight (oz/sq. yd)</t>
  </si>
  <si>
    <t>Pile Height (in)</t>
  </si>
  <si>
    <t>Spacing (in)</t>
  </si>
  <si>
    <t>Infill</t>
  </si>
  <si>
    <t>Shock Pad</t>
  </si>
  <si>
    <t>Rootzone</t>
  </si>
  <si>
    <t>Mower</t>
  </si>
  <si>
    <t>Height of Cut (in)</t>
  </si>
  <si>
    <t># of Irrigation Heads</t>
  </si>
  <si>
    <t>CAFS</t>
  </si>
  <si>
    <t>CAFS1</t>
  </si>
  <si>
    <t>Open</t>
  </si>
  <si>
    <t>NA</t>
  </si>
  <si>
    <t>Gravel</t>
  </si>
  <si>
    <t>CAFS2</t>
  </si>
  <si>
    <t>Hybrid Bermudagrass</t>
  </si>
  <si>
    <t>Tifway</t>
  </si>
  <si>
    <t>N</t>
  </si>
  <si>
    <t>Silt Loam</t>
  </si>
  <si>
    <t>CAFS3</t>
  </si>
  <si>
    <t>CAFS4</t>
  </si>
  <si>
    <t>Kentucky Bluegrass</t>
  </si>
  <si>
    <t>Unknown</t>
  </si>
  <si>
    <t>Sand Cap</t>
  </si>
  <si>
    <t>CAFS5</t>
  </si>
  <si>
    <t>Plastic</t>
  </si>
  <si>
    <t>CAFS6a</t>
  </si>
  <si>
    <t>3DXL</t>
  </si>
  <si>
    <t>S</t>
  </si>
  <si>
    <t>65/35 SBR</t>
  </si>
  <si>
    <t>SP17</t>
  </si>
  <si>
    <t>CAFS6b</t>
  </si>
  <si>
    <t>None</t>
  </si>
  <si>
    <t>CAFS6c</t>
  </si>
  <si>
    <t>Micro SBR</t>
  </si>
  <si>
    <t>CAFS7</t>
  </si>
  <si>
    <t>Northbridge, Tahoma 31, TifTuf</t>
  </si>
  <si>
    <t>CAFS8</t>
  </si>
  <si>
    <t>CAFS9</t>
  </si>
  <si>
    <t>USGA</t>
  </si>
  <si>
    <t>CAFS10</t>
  </si>
  <si>
    <t>Track Material</t>
  </si>
  <si>
    <t>T</t>
  </si>
  <si>
    <t>CAFS11</t>
  </si>
  <si>
    <t>CAFS12</t>
  </si>
  <si>
    <t>ASTM</t>
  </si>
  <si>
    <t>CAFS13</t>
  </si>
  <si>
    <t>CAFS14</t>
  </si>
  <si>
    <t>TifTuf</t>
  </si>
  <si>
    <t>CAFS15</t>
  </si>
  <si>
    <t>Perennial Ryegrass</t>
  </si>
  <si>
    <t>SISGrass</t>
  </si>
  <si>
    <t>CAFS16</t>
  </si>
  <si>
    <t>CAFS17a</t>
  </si>
  <si>
    <t>3DM</t>
  </si>
  <si>
    <t>Sand, 65/35 SBR</t>
  </si>
  <si>
    <t>CAFS17b</t>
  </si>
  <si>
    <t>Sand, 65/35 TPE</t>
  </si>
  <si>
    <t>CAFS18</t>
  </si>
  <si>
    <t>CAFS19</t>
  </si>
  <si>
    <t>Rhino Blend</t>
  </si>
  <si>
    <t>50/50 SR</t>
  </si>
  <si>
    <t>SP14</t>
  </si>
  <si>
    <t>CAFS20</t>
  </si>
  <si>
    <t>65/35 RS</t>
  </si>
  <si>
    <t>CAFS21</t>
  </si>
  <si>
    <t>CAFS22</t>
  </si>
  <si>
    <t>Northbridge</t>
  </si>
  <si>
    <t>CAFS23</t>
  </si>
  <si>
    <t>Iron Cutter</t>
  </si>
  <si>
    <t>CAFS24</t>
  </si>
  <si>
    <t>CAFS25</t>
  </si>
  <si>
    <t>CAFS26</t>
  </si>
  <si>
    <t>3D3</t>
  </si>
  <si>
    <t>Hemp, Zeo</t>
  </si>
  <si>
    <t>SP 17</t>
  </si>
  <si>
    <t>CAFS27</t>
  </si>
  <si>
    <t>Brockfill</t>
  </si>
  <si>
    <t>CAFS28a</t>
  </si>
  <si>
    <t>Monofiliment</t>
  </si>
  <si>
    <t>CAFS28b</t>
  </si>
  <si>
    <t>CAFS29a</t>
  </si>
  <si>
    <t>Rootzone 3DM</t>
  </si>
  <si>
    <t>Sand, 70/30 SBR</t>
  </si>
  <si>
    <t>YSR</t>
  </si>
  <si>
    <t>CAFS29b</t>
  </si>
  <si>
    <t>Sand, 70/30 TPE</t>
  </si>
  <si>
    <t>CAFS30</t>
  </si>
  <si>
    <t>CAFS31</t>
  </si>
  <si>
    <t>3D3 HD</t>
  </si>
  <si>
    <t>Brockfill, Sand</t>
  </si>
  <si>
    <t>CAFS32</t>
  </si>
  <si>
    <t>Brockfill 1lb, Sand</t>
  </si>
  <si>
    <t>CAFS33</t>
  </si>
  <si>
    <t>Common Bermudagrass</t>
  </si>
  <si>
    <t>CAFS34</t>
  </si>
  <si>
    <t>CAFS35a</t>
  </si>
  <si>
    <t>35/65 S/R</t>
  </si>
  <si>
    <t>Powerbase Pro</t>
  </si>
  <si>
    <t>CAFS35b</t>
  </si>
  <si>
    <t>CAFS36</t>
  </si>
  <si>
    <t>CAFS37a</t>
  </si>
  <si>
    <t>CAFS37b</t>
  </si>
  <si>
    <t>CAFS38</t>
  </si>
  <si>
    <t>CAFS39</t>
  </si>
  <si>
    <t>CAFS40a</t>
  </si>
  <si>
    <t>3D3 Blend</t>
  </si>
  <si>
    <t>65/35 SR</t>
  </si>
  <si>
    <t>CAFS40b</t>
  </si>
  <si>
    <t>STR Landscape</t>
  </si>
  <si>
    <t>CAFS41a</t>
  </si>
  <si>
    <t>CAFS41b</t>
  </si>
  <si>
    <t>Envirofill</t>
  </si>
  <si>
    <t>CAFS42a</t>
  </si>
  <si>
    <t>50/50 RS</t>
  </si>
  <si>
    <t>CAFS42b</t>
  </si>
  <si>
    <t>CAFS43</t>
  </si>
  <si>
    <t>CAFS44</t>
  </si>
  <si>
    <t>65/35 Sand/TPE</t>
  </si>
  <si>
    <t>AstroPad - Guardian</t>
  </si>
  <si>
    <t>CAFS45</t>
  </si>
  <si>
    <t>Hemp EPDM</t>
  </si>
  <si>
    <t>CAFS46</t>
  </si>
  <si>
    <t>CAFS47</t>
  </si>
  <si>
    <t>CAFS48</t>
  </si>
  <si>
    <t>CAFS49</t>
  </si>
  <si>
    <t>CAFS50</t>
  </si>
  <si>
    <t>35/65 RS</t>
  </si>
  <si>
    <t>CAFS51</t>
  </si>
  <si>
    <t>CAFS52</t>
  </si>
  <si>
    <t>CAFS53</t>
  </si>
  <si>
    <t>CAFS54</t>
  </si>
  <si>
    <t>CAFS55</t>
  </si>
  <si>
    <t>CAFS56</t>
  </si>
  <si>
    <t>CAFS57</t>
  </si>
  <si>
    <t>CAFS58</t>
  </si>
  <si>
    <t>CAFS59</t>
  </si>
  <si>
    <t>CAFS60</t>
  </si>
  <si>
    <t>CAFS61</t>
  </si>
  <si>
    <t>Tahoma 31</t>
  </si>
  <si>
    <t>Permavoid</t>
  </si>
  <si>
    <t>Combine1</t>
  </si>
  <si>
    <t>E-Layer</t>
  </si>
  <si>
    <t>O</t>
  </si>
  <si>
    <t>Combine2</t>
  </si>
  <si>
    <t>Woven</t>
  </si>
  <si>
    <t>Combine3</t>
  </si>
  <si>
    <t>Sand</t>
  </si>
  <si>
    <t>Combine4</t>
  </si>
  <si>
    <t>Combine5</t>
  </si>
  <si>
    <t>Astropad Demo</t>
  </si>
  <si>
    <t>Combine6</t>
  </si>
  <si>
    <t>Combine7</t>
  </si>
  <si>
    <t>A Block</t>
  </si>
  <si>
    <t>A1</t>
  </si>
  <si>
    <t>Weeds</t>
  </si>
  <si>
    <t>Native</t>
  </si>
  <si>
    <t>John Deere  Z915E, Greenworks Optimus Z</t>
  </si>
  <si>
    <t>A2</t>
  </si>
  <si>
    <t>Zoysiagrass</t>
  </si>
  <si>
    <t>Zorro</t>
  </si>
  <si>
    <t>John Deere 7700A</t>
  </si>
  <si>
    <t>A3</t>
  </si>
  <si>
    <t>A4</t>
  </si>
  <si>
    <t>B Block</t>
  </si>
  <si>
    <t>B1</t>
  </si>
  <si>
    <t>B2</t>
  </si>
  <si>
    <t>Latitude</t>
  </si>
  <si>
    <t>B3</t>
  </si>
  <si>
    <t>Trinity</t>
  </si>
  <si>
    <t>B4</t>
  </si>
  <si>
    <t>B5</t>
  </si>
  <si>
    <t>Hybrid Bermudagrass (Overseed)</t>
  </si>
  <si>
    <t>Unknown, Perennial Rye</t>
  </si>
  <si>
    <t>B6</t>
  </si>
  <si>
    <t>B7</t>
  </si>
  <si>
    <t>Creeping Bentgrass</t>
  </si>
  <si>
    <t>B8</t>
  </si>
  <si>
    <t>B9</t>
  </si>
  <si>
    <t>L93</t>
  </si>
  <si>
    <t>John Deere 2550, Toro Greensmaster 3300 Triplex</t>
  </si>
  <si>
    <t>B10</t>
  </si>
  <si>
    <t>B11</t>
  </si>
  <si>
    <t>B12</t>
  </si>
  <si>
    <t>Prizm</t>
  </si>
  <si>
    <t>B13</t>
  </si>
  <si>
    <t>B14</t>
  </si>
  <si>
    <t>B15</t>
  </si>
  <si>
    <t>Tif3D</t>
  </si>
  <si>
    <t>B16</t>
  </si>
  <si>
    <t>Assorted</t>
  </si>
  <si>
    <t>B17</t>
  </si>
  <si>
    <t>B18</t>
  </si>
  <si>
    <t>Shark</t>
  </si>
  <si>
    <t>C Block</t>
  </si>
  <si>
    <t>C1</t>
  </si>
  <si>
    <t>Turf-Type Tall Fescue</t>
  </si>
  <si>
    <t>C2</t>
  </si>
  <si>
    <t>C3</t>
  </si>
  <si>
    <t>C4</t>
  </si>
  <si>
    <t>C5</t>
  </si>
  <si>
    <t>Provista</t>
  </si>
  <si>
    <t>C6</t>
  </si>
  <si>
    <t>Tall Fescue</t>
  </si>
  <si>
    <t>NTEP</t>
  </si>
  <si>
    <t>C7a</t>
  </si>
  <si>
    <t>C7b</t>
  </si>
  <si>
    <t>C9</t>
  </si>
  <si>
    <t>C10</t>
  </si>
  <si>
    <t>C11</t>
  </si>
  <si>
    <t>C12</t>
  </si>
  <si>
    <t>C13</t>
  </si>
  <si>
    <t>Tall Fescue &amp; Kentucky Bluegrass</t>
  </si>
  <si>
    <t>C14</t>
  </si>
  <si>
    <t>C15</t>
  </si>
  <si>
    <t>A-List</t>
  </si>
  <si>
    <t>C16</t>
  </si>
  <si>
    <t>Ornamentals</t>
  </si>
  <si>
    <t>O1</t>
  </si>
  <si>
    <t>O2</t>
  </si>
  <si>
    <t>Bermudagrass</t>
  </si>
  <si>
    <t>O3</t>
  </si>
  <si>
    <t>O4</t>
  </si>
  <si>
    <t>No-Mow trials</t>
  </si>
  <si>
    <t>Siena Experiment</t>
  </si>
  <si>
    <t>O5</t>
  </si>
  <si>
    <t>Meyer</t>
  </si>
  <si>
    <t>Sports Field</t>
  </si>
  <si>
    <t>SF1</t>
  </si>
  <si>
    <t>SF2</t>
  </si>
  <si>
    <t>SF3</t>
  </si>
  <si>
    <t>SF4</t>
  </si>
  <si>
    <t>SF5</t>
  </si>
  <si>
    <t>SF6</t>
  </si>
  <si>
    <t>SF7</t>
  </si>
  <si>
    <t>SF8</t>
  </si>
  <si>
    <t>SF9</t>
  </si>
  <si>
    <t>Hybrid Bermudagrass &amp; Zoysia grass</t>
  </si>
  <si>
    <t>SF10</t>
  </si>
  <si>
    <t>E Block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</si>
  <si>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</si>
  <si>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</si>
  <si>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</si>
  <si>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</si>
  <si>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</si>
  <si>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</si>
  <si>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</si>
  <si>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</si>
  <si>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</si>
  <si>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</si>
  <si>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</si>
  <si>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Seashore Paspalum</t>
  </si>
  <si>
    <t>Durbin</t>
  </si>
  <si>
    <t xml:space="preserve">Dennis </t>
  </si>
  <si>
    <t>E12</t>
  </si>
  <si>
    <t>Tahoma 31, Northbridge</t>
  </si>
  <si>
    <t>E13</t>
  </si>
  <si>
    <t>E14</t>
  </si>
  <si>
    <t>E15</t>
  </si>
  <si>
    <t>Seascape</t>
  </si>
  <si>
    <t>E16</t>
  </si>
  <si>
    <t>Lazer</t>
  </si>
  <si>
    <t>Toro Greensmaster Flex 200</t>
  </si>
  <si>
    <t>E16S</t>
  </si>
  <si>
    <t>Stadium</t>
  </si>
  <si>
    <t>E17</t>
  </si>
  <si>
    <t>365SS</t>
  </si>
  <si>
    <t>E18</t>
  </si>
  <si>
    <t>F Block</t>
  </si>
  <si>
    <t>F1</t>
  </si>
  <si>
    <t>P Block</t>
  </si>
  <si>
    <t>P1</t>
  </si>
  <si>
    <t>P2</t>
  </si>
  <si>
    <t>P3a</t>
  </si>
  <si>
    <t>P3b</t>
  </si>
  <si>
    <t>P4</t>
  </si>
  <si>
    <t>Synthetic Field</t>
  </si>
  <si>
    <t>SynF1</t>
  </si>
  <si>
    <t>FieldTurf</t>
  </si>
  <si>
    <t>Rubber, sand</t>
  </si>
  <si>
    <t>Alleys</t>
  </si>
  <si>
    <t>Healthy Mixture</t>
  </si>
  <si>
    <t>Make</t>
  </si>
  <si>
    <t>Model</t>
  </si>
  <si>
    <t>Cassettes</t>
  </si>
  <si>
    <t>Cassette Type</t>
  </si>
  <si>
    <t>Number of Reels</t>
  </si>
  <si>
    <t>Fuel Type</t>
  </si>
  <si>
    <t>Oil Type</t>
  </si>
  <si>
    <t>Oil Filter</t>
  </si>
  <si>
    <t>Location</t>
  </si>
  <si>
    <t>John Deere</t>
  </si>
  <si>
    <t>7700A</t>
  </si>
  <si>
    <t>Fairway Reel Mower</t>
  </si>
  <si>
    <t>Gasoline</t>
  </si>
  <si>
    <t>Bullpen</t>
  </si>
  <si>
    <t>HD200</t>
  </si>
  <si>
    <t>Boom Sprayer</t>
  </si>
  <si>
    <t>Z915E</t>
  </si>
  <si>
    <t>Zero-Turn Rotary Mower</t>
  </si>
  <si>
    <t>Shop</t>
  </si>
  <si>
    <t>Greenworks</t>
  </si>
  <si>
    <t>Optimus Z</t>
  </si>
  <si>
    <t>Electric</t>
  </si>
  <si>
    <t>Toro</t>
  </si>
  <si>
    <t>Greenmaster flex 2100</t>
  </si>
  <si>
    <t>Walking reel mower</t>
  </si>
  <si>
    <t>Greenmaster 3300 TriFlex</t>
  </si>
  <si>
    <t>Triplex reel mower</t>
  </si>
  <si>
    <t xml:space="preserve">Triplex reel mower </t>
  </si>
  <si>
    <t>Diesel</t>
  </si>
  <si>
    <t>Recycler</t>
  </si>
  <si>
    <t>Pedestrian Rotary Mower</t>
  </si>
  <si>
    <t>Dennis</t>
  </si>
  <si>
    <t>G860</t>
  </si>
  <si>
    <t>Reel, Verticut, Spring Tine</t>
  </si>
  <si>
    <t>Pedestrian Reel Mower</t>
  </si>
  <si>
    <t>Premier 2 910</t>
  </si>
  <si>
    <t>Reel</t>
  </si>
  <si>
    <t>Power Broom</t>
  </si>
  <si>
    <t>Brush</t>
  </si>
  <si>
    <t>Jacobson</t>
  </si>
  <si>
    <t>Textron</t>
  </si>
  <si>
    <t>Gator TX 4x2</t>
  </si>
  <si>
    <t>Cart</t>
  </si>
  <si>
    <t>Kawasaki</t>
  </si>
  <si>
    <t>Mule 3010</t>
  </si>
  <si>
    <t>Mule 600</t>
  </si>
  <si>
    <t>Kioti</t>
  </si>
  <si>
    <t>DK 5320 SE HST</t>
  </si>
  <si>
    <t>Tractor</t>
  </si>
  <si>
    <t>Dakota</t>
  </si>
  <si>
    <t>Turf Tender 410</t>
  </si>
  <si>
    <t>Pull Behind Rotary  Spreader</t>
  </si>
  <si>
    <t>Farm Chemical Room</t>
  </si>
  <si>
    <t>Top Dresser 2500</t>
  </si>
  <si>
    <t>Pull Behind Drop Spreader</t>
  </si>
  <si>
    <t>POS</t>
  </si>
  <si>
    <t>Silver</t>
  </si>
  <si>
    <t>Pedestrian Drop Spreader</t>
  </si>
  <si>
    <t>Stryker</t>
  </si>
  <si>
    <t>Slightly Dirty Room</t>
  </si>
  <si>
    <t>Anderson</t>
  </si>
  <si>
    <t>Pedestrian Rotary Spreader</t>
  </si>
  <si>
    <t>Pull Barn</t>
  </si>
  <si>
    <t>STI</t>
  </si>
  <si>
    <t>Tractor mounted Aerifier</t>
  </si>
  <si>
    <t>ProCore 648</t>
  </si>
  <si>
    <t>Pedestrian Trafficker (Aerfier)</t>
  </si>
  <si>
    <t>GKB</t>
  </si>
  <si>
    <t>CB120</t>
  </si>
  <si>
    <t>Pedestrian Fraise Mower</t>
  </si>
  <si>
    <t>STEC</t>
  </si>
  <si>
    <t>Blecklavator</t>
  </si>
  <si>
    <t>Foley</t>
  </si>
  <si>
    <t>672 Accu-Pro</t>
  </si>
  <si>
    <t>Bed Knife Grinder</t>
  </si>
  <si>
    <t>633 Accu-Pro AC</t>
  </si>
  <si>
    <t>Reel Grinder</t>
  </si>
  <si>
    <t>642 Quick-Spin</t>
  </si>
  <si>
    <t>Allett</t>
  </si>
  <si>
    <t>STIR43</t>
  </si>
  <si>
    <t>Reel, Verticut, Spring Tine, Brush</t>
  </si>
  <si>
    <t>Light House</t>
  </si>
  <si>
    <t>STIR51</t>
  </si>
  <si>
    <t>Ego</t>
  </si>
  <si>
    <t>Select Cut XP</t>
  </si>
  <si>
    <t>eProstripe 560</t>
  </si>
  <si>
    <t>SDI</t>
  </si>
  <si>
    <t>Pedestrian Boom Sprayer</t>
  </si>
  <si>
    <t>ES-510</t>
  </si>
  <si>
    <t>Reel, Spring Tine, Trafficker</t>
  </si>
  <si>
    <t>Pedestrian Trafficker (Reel Mower)</t>
  </si>
  <si>
    <t>RedMax</t>
  </si>
  <si>
    <t>Backpack Sprayer</t>
  </si>
  <si>
    <t>Pump</t>
  </si>
  <si>
    <t>Turf Chemical Room</t>
  </si>
  <si>
    <t>Smith</t>
  </si>
  <si>
    <t>Professional</t>
  </si>
  <si>
    <t>Husqvarna</t>
  </si>
  <si>
    <t>King</t>
  </si>
  <si>
    <t>Promax</t>
  </si>
  <si>
    <t>Battery</t>
  </si>
  <si>
    <t>Ewing</t>
  </si>
  <si>
    <t>Pro Gator</t>
  </si>
  <si>
    <t>Dingo TXL 2000</t>
  </si>
  <si>
    <t>Bucket, Forks</t>
  </si>
  <si>
    <t>Compact Utility Loader</t>
  </si>
  <si>
    <t>Spider</t>
  </si>
  <si>
    <t>Donkey</t>
  </si>
  <si>
    <t>Forklift</t>
  </si>
  <si>
    <t>NorthStar</t>
  </si>
  <si>
    <t>Dump, Bump, Pull 7000</t>
  </si>
  <si>
    <t>Trailer</t>
  </si>
  <si>
    <t>Graco</t>
  </si>
  <si>
    <t>Field Lazer S200</t>
  </si>
  <si>
    <t>Line Painter</t>
  </si>
  <si>
    <t>Pitchmark</t>
  </si>
  <si>
    <t>Classic</t>
  </si>
  <si>
    <t>wheel to wheel painter</t>
  </si>
  <si>
    <t>Optimus</t>
  </si>
  <si>
    <t>Weedeater</t>
  </si>
  <si>
    <t>Tool Shed</t>
  </si>
  <si>
    <t>Edger</t>
  </si>
  <si>
    <t>Stihl</t>
  </si>
  <si>
    <t>Mixed Gasoline</t>
  </si>
  <si>
    <t>BR 800 C</t>
  </si>
  <si>
    <t>Backpack Blower</t>
  </si>
  <si>
    <t>BR 550</t>
  </si>
  <si>
    <t>BB361</t>
  </si>
  <si>
    <t>82LM21S</t>
  </si>
  <si>
    <t>Handheld Blower</t>
  </si>
  <si>
    <t>Globus</t>
  </si>
  <si>
    <t>Eurogoal</t>
  </si>
  <si>
    <t>JUGS Machine</t>
  </si>
  <si>
    <t>Turf Tank</t>
  </si>
  <si>
    <t>SGL fLEX</t>
  </si>
  <si>
    <t>fLEX</t>
  </si>
  <si>
    <t>Field Tester</t>
  </si>
  <si>
    <t>UT</t>
  </si>
  <si>
    <t>DTS-24-01</t>
  </si>
  <si>
    <t>DTS-25-05</t>
  </si>
  <si>
    <t>Jacobsen</t>
  </si>
  <si>
    <t>Ryan</t>
  </si>
  <si>
    <t>Sod Cutter</t>
  </si>
  <si>
    <t>Turfco</t>
  </si>
  <si>
    <t>Slit Seeder</t>
  </si>
  <si>
    <t>SISIS</t>
  </si>
  <si>
    <t>Soccer Traficker</t>
  </si>
  <si>
    <t>Fraise Mower</t>
  </si>
  <si>
    <t>Permaspray</t>
  </si>
  <si>
    <t>Rotary Spreader, Sprayer</t>
  </si>
  <si>
    <t>Tru-Turf</t>
  </si>
  <si>
    <t>RS48-T1C</t>
  </si>
  <si>
    <t>Greens Roller</t>
  </si>
  <si>
    <t>Honda</t>
  </si>
  <si>
    <t>EU1000i</t>
  </si>
  <si>
    <t>Generator</t>
  </si>
  <si>
    <t>Scotts</t>
  </si>
  <si>
    <t>Turf Builder Classic Drop</t>
  </si>
  <si>
    <t>Dodge</t>
  </si>
  <si>
    <t>Ram 2500</t>
  </si>
  <si>
    <t>Truck</t>
  </si>
  <si>
    <t>Ford</t>
  </si>
  <si>
    <t>F-250</t>
  </si>
  <si>
    <t>GMC</t>
  </si>
  <si>
    <t>Big Blue</t>
  </si>
  <si>
    <t>Reel Mower</t>
  </si>
  <si>
    <t>First Name</t>
  </si>
  <si>
    <t>Last Name</t>
  </si>
  <si>
    <t>Pronouns</t>
  </si>
  <si>
    <t>Role</t>
  </si>
  <si>
    <t>Lab</t>
  </si>
  <si>
    <t>Email</t>
  </si>
  <si>
    <t xml:space="preserve">Dillon </t>
  </si>
  <si>
    <t>McCallum</t>
  </si>
  <si>
    <t>he/him/his</t>
  </si>
  <si>
    <t>Technician</t>
  </si>
  <si>
    <t>Sorochan</t>
  </si>
  <si>
    <t>Rhys</t>
  </si>
  <si>
    <t>Fielder</t>
  </si>
  <si>
    <t>Kyley</t>
  </si>
  <si>
    <t>Dickson</t>
  </si>
  <si>
    <t>Taylor</t>
  </si>
  <si>
    <t>Williams</t>
  </si>
  <si>
    <t>Greg</t>
  </si>
  <si>
    <t>Breeden</t>
  </si>
  <si>
    <t>Brosnan</t>
  </si>
  <si>
    <t>Javi</t>
  </si>
  <si>
    <t>Vargas</t>
  </si>
  <si>
    <t>Bill</t>
  </si>
  <si>
    <t>Czekai</t>
  </si>
  <si>
    <t>Farm Manager</t>
  </si>
  <si>
    <t>David</t>
  </si>
  <si>
    <t>Shell</t>
  </si>
  <si>
    <t>Horvath</t>
  </si>
  <si>
    <t>Rose</t>
  </si>
  <si>
    <t>Gibbons</t>
  </si>
  <si>
    <t>she/her/hers</t>
  </si>
  <si>
    <t>Graduate Student</t>
  </si>
  <si>
    <t>Zoe</t>
  </si>
  <si>
    <t>Haub-Hinton</t>
  </si>
  <si>
    <t>Bowling</t>
  </si>
  <si>
    <t>Siena</t>
  </si>
  <si>
    <t>Jobkar</t>
  </si>
  <si>
    <t>Logan</t>
  </si>
  <si>
    <t>Jim</t>
  </si>
  <si>
    <t>Faculty</t>
  </si>
  <si>
    <t>Brandon</t>
  </si>
  <si>
    <t>Becky</t>
  </si>
  <si>
    <t>John</t>
  </si>
  <si>
    <t>Stier</t>
  </si>
  <si>
    <t>Garrett</t>
  </si>
  <si>
    <t>Willard</t>
  </si>
  <si>
    <t>Undergraduate Student</t>
  </si>
  <si>
    <t>Barrett</t>
  </si>
  <si>
    <t>Taryn</t>
  </si>
  <si>
    <t>Jed</t>
  </si>
  <si>
    <t>Bates</t>
  </si>
  <si>
    <t>Caroline</t>
  </si>
  <si>
    <t>Hagler</t>
  </si>
  <si>
    <t>Lauren</t>
  </si>
  <si>
    <t>Valk</t>
  </si>
  <si>
    <t>The Email column was intentionally cleared before this file was published. The addresses are kept out of the public repo on purpose — they live in roster-emails.local.json, which is git-ignored. See DECISIONS.md.</t>
  </si>
  <si>
    <t>Levi</t>
  </si>
  <si>
    <t>Cunningham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</si>
</sst>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/>
    <xf numFmtId="0" fontId="2" fillId="0" borderId="0"/>
  </cellStyleXfs>
  <cellXfs count="9">
    <xf numFmtId="0" fontId="0" fillId="0" borderId="0" xfId="0"/>
    <xf numFmtId="0" fontId="0" fillId="0" borderId="0" xfId="0" quotePrefix="1"/>
    <xf numFmtId="0" fontId="3" fillId="0" borderId="0" xfId="0" applyFont="1"/>
    <xf numFmtId="0" fontId="3" fillId="0" borderId="0" xfId="0" quotePrefix="1" applyFont="1"/>
    <xf numFmtId="164" fontId="0" fillId="0" borderId="0" xfId="0" applyNumberFormat="1"/>
    <xf numFmtId="165" fontId="0" fillId="0" borderId="0" xfId="1" applyNumberFormat="1" applyFont="1"/>
    <xf numFmtId="0" fontId="2" fillId="0" borderId="0" xfId="2"/>
    <xf numFmtId="0" fontId="4" fillId="0" borderId="0" xfId="0" applyFont="1"/>
    <xf numFmtId="0" fontId="5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0"/>
  <sheetViews>
    <sheetView workbookViewId="0">
      <pane ySplit="1" topLeftCell="A56" activePane="bottomLeft" state="frozen"/>
      <selection pane="bottomLeft" activeCell="L30" sqref="L30"/>
    </sheetView>
  </sheetViews>
  <sheetFormatPr baseColWidth="10" defaultRowHeight="16" x14ac:dyDescent="0.2"/>
  <cols>
    <col min="2" max="2" width="13.6640625" customWidth="1"/>
    <col min="3" max="3" width="11.33203125" bestFit="1" customWidth="1"/>
    <col min="4" max="4" width="13.5" customWidth="1"/>
    <col min="5" max="5" width="30" customWidth="1"/>
    <col min="6" max="6" width="27.5" bestFit="1" customWidth="1"/>
    <col min="7" max="7" width="12" customWidth="1"/>
    <col min="8" max="8" width="7.6640625" customWidth="1"/>
    <col min="9" max="9" width="20" bestFit="1" customWidth="1"/>
    <col min="10" max="11" width="13.33203125" customWidth="1"/>
    <col min="12" max="12" width="15.5" bestFit="1" customWidth="1"/>
    <col min="13" max="13" width="13.6640625" customWidth="1"/>
    <col min="15" max="15" width="41.5" bestFit="1" customWidth="1"/>
    <col min="16" max="16" width="11.6640625" customWidth="1"/>
    <col min="17" max="17" width="17.1640625" customWidth="1"/>
  </cols>
  <sheetData>
    <row r="1" spans="1:17" x14ac:dyDescent="0.2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  <c r="P1" t="s">
        <v>74</v>
      </c>
      <c r="Q1" t="s">
        <v>75</v>
      </c>
    </row>
    <row r="2" spans="1:17" x14ac:dyDescent="0.2">
      <c r="A2">
        <v>1</v>
      </c>
      <c r="B2" t="s">
        <v>76</v>
      </c>
      <c r="C2" t="s">
        <v>77</v>
      </c>
      <c r="D2" s="5">
        <v>450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80</v>
      </c>
      <c r="O2" t="s">
        <v>79</v>
      </c>
      <c r="P2" t="s">
        <v>79</v>
      </c>
      <c r="Q2">
        <v>4</v>
      </c>
    </row>
    <row r="3" spans="1:17" x14ac:dyDescent="0.2">
      <c r="A3">
        <v>2</v>
      </c>
      <c r="B3" t="s">
        <v>76</v>
      </c>
      <c r="C3" t="s">
        <v>81</v>
      </c>
      <c r="D3" s="5">
        <v>450</v>
      </c>
      <c r="E3" t="s">
        <v>82</v>
      </c>
      <c r="F3" t="s">
        <v>83</v>
      </c>
      <c r="G3" t="s">
        <v>79</v>
      </c>
      <c r="H3" t="s">
        <v>84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85</v>
      </c>
      <c r="O3" t="s">
        <v>13</v>
      </c>
      <c r="P3">
        <v>0.75</v>
      </c>
      <c r="Q3">
        <v>4</v>
      </c>
    </row>
    <row r="4" spans="1:17" x14ac:dyDescent="0.2">
      <c r="A4">
        <v>3</v>
      </c>
      <c r="B4" t="s">
        <v>76</v>
      </c>
      <c r="C4" t="s">
        <v>86</v>
      </c>
      <c r="D4" s="5">
        <v>450</v>
      </c>
      <c r="E4" t="s">
        <v>78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80</v>
      </c>
      <c r="O4" t="s">
        <v>79</v>
      </c>
      <c r="P4" t="s">
        <v>79</v>
      </c>
      <c r="Q4">
        <v>4</v>
      </c>
    </row>
    <row r="5" spans="1:17" x14ac:dyDescent="0.2">
      <c r="A5">
        <v>4</v>
      </c>
      <c r="B5" t="s">
        <v>76</v>
      </c>
      <c r="C5" t="s">
        <v>87</v>
      </c>
      <c r="D5" s="5">
        <v>450</v>
      </c>
      <c r="E5" t="s">
        <v>88</v>
      </c>
      <c r="F5" t="s">
        <v>89</v>
      </c>
      <c r="G5" t="s">
        <v>79</v>
      </c>
      <c r="H5" t="s">
        <v>84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90</v>
      </c>
      <c r="O5" t="s">
        <v>13</v>
      </c>
      <c r="P5">
        <v>0.75</v>
      </c>
      <c r="Q5">
        <v>4</v>
      </c>
    </row>
    <row r="6" spans="1:17" x14ac:dyDescent="0.2">
      <c r="A6">
        <v>5</v>
      </c>
      <c r="B6" t="s">
        <v>76</v>
      </c>
      <c r="C6" t="s">
        <v>91</v>
      </c>
      <c r="D6" s="5">
        <v>450</v>
      </c>
      <c r="E6" t="s">
        <v>88</v>
      </c>
      <c r="F6" t="s">
        <v>89</v>
      </c>
      <c r="G6" t="s">
        <v>79</v>
      </c>
      <c r="H6" t="s">
        <v>84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92</v>
      </c>
      <c r="O6" t="s">
        <v>13</v>
      </c>
      <c r="P6">
        <v>0.75</v>
      </c>
      <c r="Q6">
        <v>4</v>
      </c>
    </row>
    <row r="7" spans="1:17" x14ac:dyDescent="0.2">
      <c r="A7">
        <v>6</v>
      </c>
      <c r="B7" t="s">
        <v>76</v>
      </c>
      <c r="C7" t="s">
        <v>93</v>
      </c>
      <c r="D7" s="5">
        <v>150</v>
      </c>
      <c r="E7" t="s">
        <v>94</v>
      </c>
      <c r="F7" t="s">
        <v>79</v>
      </c>
      <c r="G7" t="s">
        <v>79</v>
      </c>
      <c r="H7" t="s">
        <v>95</v>
      </c>
      <c r="I7">
        <v>70</v>
      </c>
      <c r="J7">
        <v>1.75</v>
      </c>
      <c r="K7" t="s">
        <v>79</v>
      </c>
      <c r="L7" t="s">
        <v>96</v>
      </c>
      <c r="M7" t="s">
        <v>97</v>
      </c>
      <c r="N7" t="s">
        <v>79</v>
      </c>
      <c r="O7" t="s">
        <v>79</v>
      </c>
      <c r="P7" t="s">
        <v>79</v>
      </c>
      <c r="Q7">
        <v>4</v>
      </c>
    </row>
    <row r="8" spans="1:17" x14ac:dyDescent="0.2">
      <c r="B8" t="s">
        <v>76</v>
      </c>
      <c r="C8" t="s">
        <v>98</v>
      </c>
      <c r="D8" s="5">
        <v>150</v>
      </c>
      <c r="E8" t="s">
        <v>94</v>
      </c>
      <c r="F8" t="s">
        <v>79</v>
      </c>
      <c r="G8" t="s">
        <v>79</v>
      </c>
      <c r="H8" t="s">
        <v>95</v>
      </c>
      <c r="I8">
        <v>70</v>
      </c>
      <c r="J8">
        <v>1.75</v>
      </c>
      <c r="K8" t="s">
        <v>79</v>
      </c>
      <c r="L8" t="s">
        <v>99</v>
      </c>
      <c r="M8" t="s">
        <v>97</v>
      </c>
      <c r="N8" t="s">
        <v>79</v>
      </c>
      <c r="O8" t="s">
        <v>79</v>
      </c>
      <c r="P8" t="s">
        <v>79</v>
      </c>
      <c r="Q8">
        <v>4</v>
      </c>
    </row>
    <row r="9" spans="1:17" x14ac:dyDescent="0.2">
      <c r="B9" t="s">
        <v>76</v>
      </c>
      <c r="C9" t="s">
        <v>100</v>
      </c>
      <c r="D9" s="5">
        <v>150</v>
      </c>
      <c r="E9" t="s">
        <v>94</v>
      </c>
      <c r="F9" t="s">
        <v>79</v>
      </c>
      <c r="G9" t="s">
        <v>79</v>
      </c>
      <c r="H9" t="s">
        <v>95</v>
      </c>
      <c r="I9">
        <v>70</v>
      </c>
      <c r="J9">
        <v>1.75</v>
      </c>
      <c r="K9" t="s">
        <v>79</v>
      </c>
      <c r="L9" t="s">
        <v>101</v>
      </c>
      <c r="M9" t="s">
        <v>97</v>
      </c>
      <c r="N9" t="s">
        <v>79</v>
      </c>
      <c r="O9" t="s">
        <v>79</v>
      </c>
      <c r="P9" t="s">
        <v>79</v>
      </c>
      <c r="Q9">
        <v>4</v>
      </c>
    </row>
    <row r="10" spans="1:17" x14ac:dyDescent="0.2">
      <c r="A10">
        <v>7</v>
      </c>
      <c r="B10" t="s">
        <v>76</v>
      </c>
      <c r="C10" t="s">
        <v>102</v>
      </c>
      <c r="D10" s="5">
        <v>450</v>
      </c>
      <c r="E10" t="s">
        <v>82</v>
      </c>
      <c r="F10" s="1" t="s">
        <v>103</v>
      </c>
      <c r="G10" t="s">
        <v>79</v>
      </c>
      <c r="H10" t="s">
        <v>84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85</v>
      </c>
      <c r="O10" t="s">
        <v>13</v>
      </c>
      <c r="P10">
        <v>0.75</v>
      </c>
      <c r="Q10">
        <v>4</v>
      </c>
    </row>
    <row r="11" spans="1:17" x14ac:dyDescent="0.2">
      <c r="A11">
        <v>8</v>
      </c>
      <c r="B11" t="s">
        <v>76</v>
      </c>
      <c r="C11" t="s">
        <v>104</v>
      </c>
      <c r="D11" s="5">
        <v>450</v>
      </c>
      <c r="E11" t="s">
        <v>82</v>
      </c>
      <c r="F11" s="1" t="s">
        <v>103</v>
      </c>
      <c r="G11" t="s">
        <v>79</v>
      </c>
      <c r="H11" t="s">
        <v>84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85</v>
      </c>
      <c r="O11" t="s">
        <v>13</v>
      </c>
      <c r="P11">
        <v>0.75</v>
      </c>
      <c r="Q11">
        <v>4</v>
      </c>
    </row>
    <row r="12" spans="1:17" x14ac:dyDescent="0.2">
      <c r="A12">
        <v>9</v>
      </c>
      <c r="B12" t="s">
        <v>76</v>
      </c>
      <c r="C12" t="s">
        <v>105</v>
      </c>
      <c r="D12" s="5">
        <v>450</v>
      </c>
      <c r="E12" t="s">
        <v>82</v>
      </c>
      <c r="F12" s="1" t="s">
        <v>83</v>
      </c>
      <c r="G12" t="s">
        <v>79</v>
      </c>
      <c r="H12" t="s">
        <v>84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106</v>
      </c>
      <c r="O12" t="s">
        <v>13</v>
      </c>
      <c r="P12">
        <v>0.75</v>
      </c>
      <c r="Q12">
        <v>4</v>
      </c>
    </row>
    <row r="13" spans="1:17" x14ac:dyDescent="0.2">
      <c r="A13">
        <v>10</v>
      </c>
      <c r="B13" t="s">
        <v>76</v>
      </c>
      <c r="C13" t="s">
        <v>107</v>
      </c>
      <c r="D13" s="5">
        <v>450</v>
      </c>
      <c r="E13" t="s">
        <v>108</v>
      </c>
      <c r="F13" t="s">
        <v>79</v>
      </c>
      <c r="G13" t="s">
        <v>79</v>
      </c>
      <c r="H13" t="s">
        <v>109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>
        <v>4</v>
      </c>
    </row>
    <row r="14" spans="1:17" x14ac:dyDescent="0.2">
      <c r="A14">
        <v>11</v>
      </c>
      <c r="B14" t="s">
        <v>76</v>
      </c>
      <c r="C14" t="s">
        <v>110</v>
      </c>
      <c r="D14" s="5">
        <v>450</v>
      </c>
      <c r="E14" t="s">
        <v>88</v>
      </c>
      <c r="F14" t="s">
        <v>89</v>
      </c>
      <c r="G14" t="s">
        <v>79</v>
      </c>
      <c r="H14" t="s">
        <v>84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92</v>
      </c>
      <c r="O14" t="s">
        <v>13</v>
      </c>
      <c r="P14">
        <v>0.75</v>
      </c>
      <c r="Q14">
        <v>4</v>
      </c>
    </row>
    <row r="15" spans="1:17" x14ac:dyDescent="0.2">
      <c r="A15">
        <v>12</v>
      </c>
      <c r="B15" t="s">
        <v>76</v>
      </c>
      <c r="C15" t="s">
        <v>111</v>
      </c>
      <c r="D15" s="5">
        <v>450</v>
      </c>
      <c r="E15" t="s">
        <v>82</v>
      </c>
      <c r="F15" s="1" t="s">
        <v>83</v>
      </c>
      <c r="G15" t="s">
        <v>79</v>
      </c>
      <c r="H15" t="s">
        <v>84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112</v>
      </c>
      <c r="O15" t="s">
        <v>13</v>
      </c>
      <c r="P15">
        <v>0.75</v>
      </c>
      <c r="Q15">
        <v>4</v>
      </c>
    </row>
    <row r="16" spans="1:17" x14ac:dyDescent="0.2">
      <c r="A16">
        <v>13</v>
      </c>
      <c r="B16" t="s">
        <v>76</v>
      </c>
      <c r="C16" t="s">
        <v>113</v>
      </c>
      <c r="D16" s="5">
        <v>450</v>
      </c>
      <c r="E16" t="s">
        <v>82</v>
      </c>
      <c r="F16" s="1" t="s">
        <v>83</v>
      </c>
      <c r="G16" t="s">
        <v>79</v>
      </c>
      <c r="H16" t="s">
        <v>84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85</v>
      </c>
      <c r="O16" t="s">
        <v>13</v>
      </c>
      <c r="P16">
        <v>0.75</v>
      </c>
      <c r="Q16">
        <v>4</v>
      </c>
    </row>
    <row r="17" spans="1:17" x14ac:dyDescent="0.2">
      <c r="A17">
        <v>14</v>
      </c>
      <c r="B17" t="s">
        <v>76</v>
      </c>
      <c r="C17" t="s">
        <v>114</v>
      </c>
      <c r="D17" s="5">
        <v>450</v>
      </c>
      <c r="E17" t="s">
        <v>82</v>
      </c>
      <c r="F17" s="1" t="s">
        <v>115</v>
      </c>
      <c r="G17" t="s">
        <v>79</v>
      </c>
      <c r="H17" t="s">
        <v>84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112</v>
      </c>
      <c r="O17" t="s">
        <v>13</v>
      </c>
      <c r="P17">
        <v>0.75</v>
      </c>
      <c r="Q17">
        <v>4</v>
      </c>
    </row>
    <row r="18" spans="1:17" x14ac:dyDescent="0.2">
      <c r="A18">
        <v>15</v>
      </c>
      <c r="B18" t="s">
        <v>76</v>
      </c>
      <c r="C18" t="s">
        <v>116</v>
      </c>
      <c r="D18" s="5">
        <v>450</v>
      </c>
      <c r="E18" t="s">
        <v>117</v>
      </c>
      <c r="F18" t="s">
        <v>89</v>
      </c>
      <c r="G18" t="s">
        <v>118</v>
      </c>
      <c r="H18" t="s">
        <v>84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106</v>
      </c>
      <c r="O18" t="s">
        <v>13</v>
      </c>
      <c r="P18">
        <v>0.75</v>
      </c>
      <c r="Q18">
        <v>4</v>
      </c>
    </row>
    <row r="19" spans="1:17" x14ac:dyDescent="0.2">
      <c r="A19">
        <v>16</v>
      </c>
      <c r="B19" t="s">
        <v>76</v>
      </c>
      <c r="C19" t="s">
        <v>119</v>
      </c>
      <c r="D19" s="5">
        <v>450</v>
      </c>
      <c r="E19" t="s">
        <v>82</v>
      </c>
      <c r="F19" s="1" t="s">
        <v>83</v>
      </c>
      <c r="G19" s="1" t="s">
        <v>79</v>
      </c>
      <c r="H19" t="s">
        <v>84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90</v>
      </c>
      <c r="O19" t="s">
        <v>13</v>
      </c>
      <c r="P19">
        <v>0.75</v>
      </c>
      <c r="Q19">
        <v>4</v>
      </c>
    </row>
    <row r="20" spans="1:17" x14ac:dyDescent="0.2">
      <c r="A20">
        <v>17</v>
      </c>
      <c r="B20" t="s">
        <v>76</v>
      </c>
      <c r="C20" t="s">
        <v>120</v>
      </c>
      <c r="D20" s="5">
        <v>225</v>
      </c>
      <c r="E20" t="s">
        <v>121</v>
      </c>
      <c r="F20" t="s">
        <v>79</v>
      </c>
      <c r="G20" s="1" t="s">
        <v>79</v>
      </c>
      <c r="H20" t="s">
        <v>95</v>
      </c>
      <c r="I20">
        <v>60</v>
      </c>
      <c r="J20">
        <v>2</v>
      </c>
      <c r="K20">
        <v>0.5</v>
      </c>
      <c r="L20" t="s">
        <v>122</v>
      </c>
      <c r="M20" t="s">
        <v>97</v>
      </c>
      <c r="N20" t="s">
        <v>79</v>
      </c>
      <c r="O20" t="s">
        <v>79</v>
      </c>
      <c r="P20" t="s">
        <v>79</v>
      </c>
      <c r="Q20">
        <v>4</v>
      </c>
    </row>
    <row r="21" spans="1:17" x14ac:dyDescent="0.2">
      <c r="B21" t="s">
        <v>76</v>
      </c>
      <c r="C21" t="s">
        <v>123</v>
      </c>
      <c r="D21" s="5">
        <v>225</v>
      </c>
      <c r="E21" t="s">
        <v>121</v>
      </c>
      <c r="F21" t="s">
        <v>79</v>
      </c>
      <c r="G21" s="1" t="s">
        <v>79</v>
      </c>
      <c r="H21" t="s">
        <v>95</v>
      </c>
      <c r="I21">
        <v>60</v>
      </c>
      <c r="J21">
        <v>2</v>
      </c>
      <c r="K21">
        <v>0.5</v>
      </c>
      <c r="L21" t="s">
        <v>124</v>
      </c>
      <c r="M21" t="s">
        <v>97</v>
      </c>
      <c r="N21" t="s">
        <v>79</v>
      </c>
      <c r="O21" t="s">
        <v>79</v>
      </c>
      <c r="P21" t="s">
        <v>79</v>
      </c>
      <c r="Q21">
        <v>4</v>
      </c>
    </row>
    <row r="22" spans="1:17" x14ac:dyDescent="0.2">
      <c r="A22">
        <v>18</v>
      </c>
      <c r="B22" t="s">
        <v>76</v>
      </c>
      <c r="C22" t="s">
        <v>125</v>
      </c>
      <c r="D22" s="5">
        <v>450</v>
      </c>
      <c r="E22" t="s">
        <v>108</v>
      </c>
      <c r="F22" t="s">
        <v>79</v>
      </c>
      <c r="G22" s="1" t="s">
        <v>79</v>
      </c>
      <c r="H22" t="s">
        <v>109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>
        <v>4</v>
      </c>
    </row>
    <row r="23" spans="1:17" x14ac:dyDescent="0.2">
      <c r="A23">
        <v>19</v>
      </c>
      <c r="B23" t="s">
        <v>76</v>
      </c>
      <c r="C23" t="s">
        <v>126</v>
      </c>
      <c r="D23" s="5">
        <v>450</v>
      </c>
      <c r="E23" t="s">
        <v>127</v>
      </c>
      <c r="F23" t="s">
        <v>79</v>
      </c>
      <c r="G23" s="1" t="s">
        <v>79</v>
      </c>
      <c r="H23" t="s">
        <v>95</v>
      </c>
      <c r="I23">
        <v>48</v>
      </c>
      <c r="J23">
        <v>2</v>
      </c>
      <c r="K23" t="s">
        <v>79</v>
      </c>
      <c r="L23" t="s">
        <v>128</v>
      </c>
      <c r="M23" t="s">
        <v>129</v>
      </c>
      <c r="N23" t="s">
        <v>79</v>
      </c>
      <c r="O23" t="s">
        <v>79</v>
      </c>
      <c r="P23" t="s">
        <v>79</v>
      </c>
      <c r="Q23">
        <v>4</v>
      </c>
    </row>
    <row r="24" spans="1:17" x14ac:dyDescent="0.2">
      <c r="A24">
        <v>20</v>
      </c>
      <c r="B24" t="s">
        <v>76</v>
      </c>
      <c r="C24" t="s">
        <v>130</v>
      </c>
      <c r="D24" s="5">
        <v>450</v>
      </c>
      <c r="E24" t="s">
        <v>127</v>
      </c>
      <c r="F24" t="s">
        <v>79</v>
      </c>
      <c r="G24" s="1" t="s">
        <v>79</v>
      </c>
      <c r="H24" t="s">
        <v>95</v>
      </c>
      <c r="I24">
        <v>48</v>
      </c>
      <c r="J24">
        <v>2</v>
      </c>
      <c r="K24" t="s">
        <v>79</v>
      </c>
      <c r="L24" t="s">
        <v>131</v>
      </c>
      <c r="M24" t="s">
        <v>99</v>
      </c>
      <c r="N24" t="s">
        <v>79</v>
      </c>
      <c r="O24" t="s">
        <v>79</v>
      </c>
      <c r="P24" t="s">
        <v>79</v>
      </c>
      <c r="Q24">
        <v>4</v>
      </c>
    </row>
    <row r="25" spans="1:17" x14ac:dyDescent="0.2">
      <c r="A25">
        <v>21</v>
      </c>
      <c r="B25" t="s">
        <v>76</v>
      </c>
      <c r="C25" t="s">
        <v>132</v>
      </c>
      <c r="D25" s="5">
        <v>450</v>
      </c>
      <c r="E25" t="s">
        <v>82</v>
      </c>
      <c r="F25" s="1" t="s">
        <v>83</v>
      </c>
      <c r="G25" s="1" t="s">
        <v>79</v>
      </c>
      <c r="H25" t="s">
        <v>84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85</v>
      </c>
      <c r="O25" t="s">
        <v>13</v>
      </c>
      <c r="P25">
        <v>0.75</v>
      </c>
      <c r="Q25">
        <v>4</v>
      </c>
    </row>
    <row r="26" spans="1:17" x14ac:dyDescent="0.2">
      <c r="A26">
        <v>22</v>
      </c>
      <c r="B26" t="s">
        <v>76</v>
      </c>
      <c r="C26" t="s">
        <v>133</v>
      </c>
      <c r="D26" s="5">
        <v>450</v>
      </c>
      <c r="E26" t="s">
        <v>82</v>
      </c>
      <c r="F26" s="1" t="s">
        <v>134</v>
      </c>
      <c r="G26" s="1" t="s">
        <v>79</v>
      </c>
      <c r="H26" t="s">
        <v>84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90</v>
      </c>
      <c r="O26" t="s">
        <v>13</v>
      </c>
      <c r="P26">
        <v>0.75</v>
      </c>
      <c r="Q26">
        <v>4</v>
      </c>
    </row>
    <row r="27" spans="1:17" x14ac:dyDescent="0.2">
      <c r="A27">
        <v>23</v>
      </c>
      <c r="B27" t="s">
        <v>76</v>
      </c>
      <c r="C27" t="s">
        <v>135</v>
      </c>
      <c r="D27" s="5">
        <v>450</v>
      </c>
      <c r="E27" t="s">
        <v>82</v>
      </c>
      <c r="F27" t="s">
        <v>136</v>
      </c>
      <c r="G27" s="1" t="s">
        <v>79</v>
      </c>
      <c r="H27" t="s">
        <v>84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106</v>
      </c>
      <c r="O27" t="s">
        <v>13</v>
      </c>
      <c r="P27">
        <v>0.75</v>
      </c>
      <c r="Q27">
        <v>4</v>
      </c>
    </row>
    <row r="28" spans="1:17" x14ac:dyDescent="0.2">
      <c r="A28">
        <v>24</v>
      </c>
      <c r="B28" t="s">
        <v>76</v>
      </c>
      <c r="C28" t="s">
        <v>137</v>
      </c>
      <c r="D28" s="5">
        <v>450</v>
      </c>
      <c r="E28" t="s">
        <v>82</v>
      </c>
      <c r="F28" t="s">
        <v>115</v>
      </c>
      <c r="G28" s="1" t="s">
        <v>79</v>
      </c>
      <c r="H28" t="s">
        <v>84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112</v>
      </c>
      <c r="O28" t="s">
        <v>13</v>
      </c>
      <c r="P28">
        <v>0.75</v>
      </c>
      <c r="Q28">
        <v>4</v>
      </c>
    </row>
    <row r="29" spans="1:17" x14ac:dyDescent="0.2">
      <c r="A29">
        <v>25</v>
      </c>
      <c r="B29" t="s">
        <v>76</v>
      </c>
      <c r="C29" t="s">
        <v>138</v>
      </c>
      <c r="D29" s="5">
        <v>450</v>
      </c>
      <c r="E29" t="s">
        <v>88</v>
      </c>
      <c r="F29" t="s">
        <v>89</v>
      </c>
      <c r="G29" s="1" t="s">
        <v>79</v>
      </c>
      <c r="H29" t="s">
        <v>84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85</v>
      </c>
      <c r="O29" t="s">
        <v>13</v>
      </c>
      <c r="P29">
        <v>0.75</v>
      </c>
      <c r="Q29">
        <v>4</v>
      </c>
    </row>
    <row r="30" spans="1:17" x14ac:dyDescent="0.2">
      <c r="A30">
        <v>26</v>
      </c>
      <c r="B30" t="s">
        <v>76</v>
      </c>
      <c r="C30" t="s">
        <v>139</v>
      </c>
      <c r="D30" s="5">
        <v>450</v>
      </c>
      <c r="E30" t="s">
        <v>140</v>
      </c>
      <c r="F30" t="s">
        <v>79</v>
      </c>
      <c r="G30" s="1" t="s">
        <v>79</v>
      </c>
      <c r="H30" t="s">
        <v>95</v>
      </c>
      <c r="I30">
        <v>60</v>
      </c>
      <c r="J30">
        <v>2</v>
      </c>
      <c r="K30" t="s">
        <v>79</v>
      </c>
      <c r="L30" t="s">
        <v>141</v>
      </c>
      <c r="M30" t="s">
        <v>142</v>
      </c>
      <c r="N30" t="s">
        <v>79</v>
      </c>
      <c r="O30" t="s">
        <v>79</v>
      </c>
      <c r="P30" t="s">
        <v>79</v>
      </c>
      <c r="Q30">
        <v>4</v>
      </c>
    </row>
    <row r="31" spans="1:17" x14ac:dyDescent="0.2">
      <c r="A31">
        <v>27</v>
      </c>
      <c r="B31" t="s">
        <v>76</v>
      </c>
      <c r="C31" t="s">
        <v>143</v>
      </c>
      <c r="D31" s="5">
        <v>450</v>
      </c>
      <c r="E31" t="s">
        <v>140</v>
      </c>
      <c r="F31" t="s">
        <v>79</v>
      </c>
      <c r="G31" s="1" t="s">
        <v>79</v>
      </c>
      <c r="H31" t="s">
        <v>95</v>
      </c>
      <c r="I31">
        <v>60</v>
      </c>
      <c r="J31">
        <v>2</v>
      </c>
      <c r="K31" t="s">
        <v>79</v>
      </c>
      <c r="L31" t="s">
        <v>144</v>
      </c>
      <c r="M31" t="s">
        <v>142</v>
      </c>
      <c r="N31" t="s">
        <v>79</v>
      </c>
      <c r="O31" t="s">
        <v>79</v>
      </c>
      <c r="P31" t="s">
        <v>79</v>
      </c>
      <c r="Q31">
        <v>4</v>
      </c>
    </row>
    <row r="32" spans="1:17" x14ac:dyDescent="0.2">
      <c r="A32">
        <v>28</v>
      </c>
      <c r="B32" t="s">
        <v>76</v>
      </c>
      <c r="C32" t="s">
        <v>145</v>
      </c>
      <c r="D32" s="5">
        <v>225</v>
      </c>
      <c r="E32" t="s">
        <v>146</v>
      </c>
      <c r="F32" t="s">
        <v>79</v>
      </c>
      <c r="G32" s="1" t="s">
        <v>79</v>
      </c>
      <c r="H32" t="s">
        <v>95</v>
      </c>
      <c r="I32">
        <v>60</v>
      </c>
      <c r="J32">
        <v>2.25</v>
      </c>
      <c r="K32">
        <v>0.5</v>
      </c>
      <c r="L32" t="s">
        <v>122</v>
      </c>
      <c r="M32" t="s">
        <v>142</v>
      </c>
      <c r="N32" t="s">
        <v>79</v>
      </c>
      <c r="O32" t="s">
        <v>79</v>
      </c>
      <c r="P32" t="s">
        <v>79</v>
      </c>
      <c r="Q32">
        <v>4</v>
      </c>
    </row>
    <row r="33" spans="1:17" x14ac:dyDescent="0.2">
      <c r="B33" t="s">
        <v>76</v>
      </c>
      <c r="C33" t="s">
        <v>147</v>
      </c>
      <c r="D33" s="5">
        <v>225</v>
      </c>
      <c r="E33" t="s">
        <v>146</v>
      </c>
      <c r="F33" t="s">
        <v>79</v>
      </c>
      <c r="G33" s="1" t="s">
        <v>79</v>
      </c>
      <c r="H33" t="s">
        <v>95</v>
      </c>
      <c r="I33">
        <v>60</v>
      </c>
      <c r="J33">
        <v>2.25</v>
      </c>
      <c r="K33">
        <v>0.5</v>
      </c>
      <c r="L33" t="s">
        <v>124</v>
      </c>
      <c r="M33" t="s">
        <v>97</v>
      </c>
      <c r="N33" t="s">
        <v>79</v>
      </c>
      <c r="O33" t="s">
        <v>79</v>
      </c>
      <c r="P33" t="s">
        <v>79</v>
      </c>
      <c r="Q33">
        <v>4</v>
      </c>
    </row>
    <row r="34" spans="1:17" x14ac:dyDescent="0.2">
      <c r="A34">
        <v>29</v>
      </c>
      <c r="B34" t="s">
        <v>76</v>
      </c>
      <c r="C34" t="s">
        <v>148</v>
      </c>
      <c r="D34" s="5">
        <v>225</v>
      </c>
      <c r="E34" t="s">
        <v>149</v>
      </c>
      <c r="F34" t="s">
        <v>79</v>
      </c>
      <c r="G34" s="1" t="s">
        <v>79</v>
      </c>
      <c r="H34" t="s">
        <v>95</v>
      </c>
      <c r="I34" t="s">
        <v>79</v>
      </c>
      <c r="J34">
        <v>1.75</v>
      </c>
      <c r="K34" t="s">
        <v>79</v>
      </c>
      <c r="L34" t="s">
        <v>150</v>
      </c>
      <c r="M34" t="s">
        <v>151</v>
      </c>
      <c r="N34" t="s">
        <v>79</v>
      </c>
      <c r="O34" t="s">
        <v>79</v>
      </c>
      <c r="P34" t="s">
        <v>79</v>
      </c>
      <c r="Q34">
        <v>4</v>
      </c>
    </row>
    <row r="35" spans="1:17" x14ac:dyDescent="0.2">
      <c r="B35" t="s">
        <v>76</v>
      </c>
      <c r="C35" t="s">
        <v>152</v>
      </c>
      <c r="D35" s="5">
        <v>225</v>
      </c>
      <c r="E35" t="s">
        <v>149</v>
      </c>
      <c r="F35" t="s">
        <v>79</v>
      </c>
      <c r="G35" s="1" t="s">
        <v>79</v>
      </c>
      <c r="H35" t="s">
        <v>95</v>
      </c>
      <c r="I35" t="s">
        <v>79</v>
      </c>
      <c r="J35">
        <v>1.75</v>
      </c>
      <c r="K35" t="s">
        <v>79</v>
      </c>
      <c r="L35" t="s">
        <v>153</v>
      </c>
      <c r="M35" t="s">
        <v>151</v>
      </c>
      <c r="N35" t="s">
        <v>79</v>
      </c>
      <c r="O35" t="s">
        <v>79</v>
      </c>
      <c r="P35" t="s">
        <v>79</v>
      </c>
      <c r="Q35">
        <v>4</v>
      </c>
    </row>
    <row r="36" spans="1:17" x14ac:dyDescent="0.2">
      <c r="A36">
        <v>30</v>
      </c>
      <c r="B36" t="s">
        <v>76</v>
      </c>
      <c r="C36" t="s">
        <v>154</v>
      </c>
      <c r="D36" s="5">
        <v>450</v>
      </c>
      <c r="E36" t="s">
        <v>108</v>
      </c>
      <c r="F36" t="s">
        <v>79</v>
      </c>
      <c r="G36" s="1" t="s">
        <v>79</v>
      </c>
      <c r="H36" t="s">
        <v>109</v>
      </c>
      <c r="I36" t="s">
        <v>79</v>
      </c>
      <c r="J36" t="s">
        <v>79</v>
      </c>
      <c r="K36" t="s">
        <v>79</v>
      </c>
      <c r="L36" t="s">
        <v>79</v>
      </c>
      <c r="M36" t="s">
        <v>79</v>
      </c>
      <c r="N36" t="s">
        <v>79</v>
      </c>
      <c r="O36" t="s">
        <v>79</v>
      </c>
      <c r="P36" t="s">
        <v>79</v>
      </c>
      <c r="Q36">
        <v>4</v>
      </c>
    </row>
    <row r="37" spans="1:17" x14ac:dyDescent="0.2">
      <c r="A37">
        <v>31</v>
      </c>
      <c r="B37" t="s">
        <v>76</v>
      </c>
      <c r="C37" t="s">
        <v>155</v>
      </c>
      <c r="D37" s="5">
        <v>450</v>
      </c>
      <c r="E37" t="s">
        <v>156</v>
      </c>
      <c r="F37" t="s">
        <v>79</v>
      </c>
      <c r="G37" s="1" t="s">
        <v>79</v>
      </c>
      <c r="H37" t="s">
        <v>95</v>
      </c>
      <c r="I37">
        <v>60</v>
      </c>
      <c r="J37">
        <v>2</v>
      </c>
      <c r="K37" t="s">
        <v>79</v>
      </c>
      <c r="L37" t="s">
        <v>157</v>
      </c>
      <c r="M37" t="s">
        <v>151</v>
      </c>
      <c r="N37" t="s">
        <v>79</v>
      </c>
      <c r="O37" t="s">
        <v>79</v>
      </c>
      <c r="P37" t="s">
        <v>79</v>
      </c>
      <c r="Q37">
        <v>4</v>
      </c>
    </row>
    <row r="38" spans="1:17" x14ac:dyDescent="0.2">
      <c r="A38">
        <v>32</v>
      </c>
      <c r="B38" t="s">
        <v>76</v>
      </c>
      <c r="C38" t="s">
        <v>158</v>
      </c>
      <c r="D38" s="5">
        <v>450</v>
      </c>
      <c r="E38" t="s">
        <v>121</v>
      </c>
      <c r="F38" t="s">
        <v>79</v>
      </c>
      <c r="G38" s="1" t="s">
        <v>79</v>
      </c>
      <c r="H38" t="s">
        <v>95</v>
      </c>
      <c r="I38">
        <v>52</v>
      </c>
      <c r="J38">
        <v>2</v>
      </c>
      <c r="K38" t="s">
        <v>79</v>
      </c>
      <c r="L38" t="s">
        <v>159</v>
      </c>
      <c r="M38" t="s">
        <v>142</v>
      </c>
      <c r="N38" t="s">
        <v>79</v>
      </c>
      <c r="O38" t="s">
        <v>79</v>
      </c>
      <c r="P38" t="s">
        <v>79</v>
      </c>
      <c r="Q38">
        <v>4</v>
      </c>
    </row>
    <row r="39" spans="1:17" x14ac:dyDescent="0.2">
      <c r="A39">
        <v>33</v>
      </c>
      <c r="B39" t="s">
        <v>76</v>
      </c>
      <c r="C39" t="s">
        <v>160</v>
      </c>
      <c r="D39" s="5">
        <v>450</v>
      </c>
      <c r="E39" t="s">
        <v>161</v>
      </c>
      <c r="F39" t="s">
        <v>89</v>
      </c>
      <c r="G39" s="1" t="s">
        <v>79</v>
      </c>
      <c r="H39" t="s">
        <v>84</v>
      </c>
      <c r="I39" t="s">
        <v>79</v>
      </c>
      <c r="J39" t="s">
        <v>79</v>
      </c>
      <c r="K39" t="s">
        <v>79</v>
      </c>
      <c r="L39" t="s">
        <v>79</v>
      </c>
      <c r="M39" t="s">
        <v>79</v>
      </c>
      <c r="N39" t="s">
        <v>85</v>
      </c>
      <c r="O39" t="s">
        <v>13</v>
      </c>
      <c r="P39">
        <v>0.75</v>
      </c>
      <c r="Q39">
        <v>4</v>
      </c>
    </row>
    <row r="40" spans="1:17" x14ac:dyDescent="0.2">
      <c r="A40">
        <v>34</v>
      </c>
      <c r="B40" t="s">
        <v>76</v>
      </c>
      <c r="C40" t="s">
        <v>162</v>
      </c>
      <c r="D40" s="5">
        <v>450</v>
      </c>
      <c r="E40" t="s">
        <v>82</v>
      </c>
      <c r="F40" t="s">
        <v>83</v>
      </c>
      <c r="G40" s="1" t="s">
        <v>79</v>
      </c>
      <c r="H40" t="s">
        <v>84</v>
      </c>
      <c r="I40" t="s">
        <v>79</v>
      </c>
      <c r="J40" t="s">
        <v>79</v>
      </c>
      <c r="K40" t="s">
        <v>79</v>
      </c>
      <c r="L40" t="s">
        <v>79</v>
      </c>
      <c r="M40" t="s">
        <v>79</v>
      </c>
      <c r="N40" t="s">
        <v>106</v>
      </c>
      <c r="O40" t="s">
        <v>13</v>
      </c>
      <c r="P40">
        <v>0.75</v>
      </c>
      <c r="Q40">
        <v>4</v>
      </c>
    </row>
    <row r="41" spans="1:17" x14ac:dyDescent="0.2">
      <c r="A41">
        <v>35</v>
      </c>
      <c r="B41" t="s">
        <v>76</v>
      </c>
      <c r="C41" t="s">
        <v>163</v>
      </c>
      <c r="D41" s="5">
        <v>225</v>
      </c>
      <c r="E41" t="s">
        <v>121</v>
      </c>
      <c r="F41" t="s">
        <v>79</v>
      </c>
      <c r="G41" s="1" t="s">
        <v>79</v>
      </c>
      <c r="H41" t="s">
        <v>95</v>
      </c>
      <c r="I41">
        <v>60</v>
      </c>
      <c r="J41">
        <v>2</v>
      </c>
      <c r="K41" t="s">
        <v>79</v>
      </c>
      <c r="L41" t="s">
        <v>164</v>
      </c>
      <c r="M41" t="s">
        <v>165</v>
      </c>
      <c r="N41" t="s">
        <v>79</v>
      </c>
      <c r="O41" t="s">
        <v>79</v>
      </c>
      <c r="P41" t="s">
        <v>79</v>
      </c>
      <c r="Q41">
        <v>4</v>
      </c>
    </row>
    <row r="42" spans="1:17" x14ac:dyDescent="0.2">
      <c r="B42" t="s">
        <v>76</v>
      </c>
      <c r="C42" t="s">
        <v>166</v>
      </c>
      <c r="D42" s="5">
        <v>225</v>
      </c>
      <c r="E42" t="s">
        <v>121</v>
      </c>
      <c r="F42" t="s">
        <v>79</v>
      </c>
      <c r="G42" s="1" t="s">
        <v>79</v>
      </c>
      <c r="H42" t="s">
        <v>95</v>
      </c>
      <c r="I42">
        <v>60</v>
      </c>
      <c r="J42">
        <v>2</v>
      </c>
      <c r="K42" t="s">
        <v>79</v>
      </c>
      <c r="M42" t="s">
        <v>142</v>
      </c>
      <c r="N42" t="s">
        <v>79</v>
      </c>
      <c r="O42" t="s">
        <v>79</v>
      </c>
      <c r="P42" t="s">
        <v>79</v>
      </c>
      <c r="Q42">
        <v>4</v>
      </c>
    </row>
    <row r="43" spans="1:17" x14ac:dyDescent="0.2">
      <c r="A43">
        <v>36</v>
      </c>
      <c r="B43" t="s">
        <v>76</v>
      </c>
      <c r="C43" t="s">
        <v>167</v>
      </c>
      <c r="D43" s="5">
        <v>450</v>
      </c>
      <c r="E43" t="s">
        <v>82</v>
      </c>
      <c r="F43" t="s">
        <v>83</v>
      </c>
      <c r="G43" s="1" t="s">
        <v>79</v>
      </c>
      <c r="H43" t="s">
        <v>84</v>
      </c>
      <c r="I43" t="s">
        <v>79</v>
      </c>
      <c r="J43" t="s">
        <v>79</v>
      </c>
      <c r="K43" t="s">
        <v>79</v>
      </c>
      <c r="L43" t="s">
        <v>79</v>
      </c>
      <c r="M43" t="s">
        <v>79</v>
      </c>
      <c r="N43" t="s">
        <v>85</v>
      </c>
      <c r="O43" t="s">
        <v>13</v>
      </c>
      <c r="P43">
        <v>0.75</v>
      </c>
      <c r="Q43">
        <v>4</v>
      </c>
    </row>
    <row r="44" spans="1:17" x14ac:dyDescent="0.2">
      <c r="A44">
        <v>37</v>
      </c>
      <c r="B44" t="s">
        <v>76</v>
      </c>
      <c r="C44" t="s">
        <v>168</v>
      </c>
      <c r="D44" s="5">
        <v>225</v>
      </c>
      <c r="E44" t="s">
        <v>140</v>
      </c>
      <c r="F44" t="s">
        <v>79</v>
      </c>
      <c r="G44" s="1" t="s">
        <v>79</v>
      </c>
      <c r="H44" t="s">
        <v>95</v>
      </c>
      <c r="I44">
        <v>60</v>
      </c>
      <c r="J44">
        <v>2</v>
      </c>
      <c r="K44" t="s">
        <v>79</v>
      </c>
      <c r="L44" t="s">
        <v>131</v>
      </c>
      <c r="M44" t="s">
        <v>99</v>
      </c>
      <c r="N44" t="s">
        <v>79</v>
      </c>
      <c r="O44" t="s">
        <v>79</v>
      </c>
      <c r="P44" t="s">
        <v>79</v>
      </c>
      <c r="Q44">
        <v>4</v>
      </c>
    </row>
    <row r="45" spans="1:17" x14ac:dyDescent="0.2">
      <c r="B45" t="s">
        <v>76</v>
      </c>
      <c r="C45" t="s">
        <v>169</v>
      </c>
      <c r="D45" s="5">
        <v>225</v>
      </c>
      <c r="E45" t="s">
        <v>140</v>
      </c>
      <c r="F45" t="s">
        <v>79</v>
      </c>
      <c r="G45" s="1" t="s">
        <v>79</v>
      </c>
      <c r="H45" t="s">
        <v>95</v>
      </c>
      <c r="I45">
        <v>60</v>
      </c>
      <c r="J45">
        <v>2</v>
      </c>
      <c r="K45" t="s">
        <v>79</v>
      </c>
      <c r="L45" t="s">
        <v>131</v>
      </c>
      <c r="M45" t="s">
        <v>142</v>
      </c>
      <c r="N45" t="s">
        <v>79</v>
      </c>
      <c r="O45" t="s">
        <v>79</v>
      </c>
      <c r="P45" t="s">
        <v>79</v>
      </c>
      <c r="Q45">
        <v>4</v>
      </c>
    </row>
    <row r="46" spans="1:17" x14ac:dyDescent="0.2">
      <c r="A46">
        <v>38</v>
      </c>
      <c r="B46" t="s">
        <v>76</v>
      </c>
      <c r="C46" t="s">
        <v>170</v>
      </c>
      <c r="D46" s="5">
        <v>450</v>
      </c>
      <c r="E46" t="s">
        <v>82</v>
      </c>
      <c r="F46" t="s">
        <v>83</v>
      </c>
      <c r="G46" s="1" t="s">
        <v>79</v>
      </c>
      <c r="H46" t="s">
        <v>84</v>
      </c>
      <c r="I46" t="s">
        <v>79</v>
      </c>
      <c r="J46" t="s">
        <v>79</v>
      </c>
      <c r="K46" t="s">
        <v>79</v>
      </c>
      <c r="L46" t="s">
        <v>79</v>
      </c>
      <c r="M46" t="s">
        <v>79</v>
      </c>
      <c r="N46" t="s">
        <v>112</v>
      </c>
      <c r="O46" t="s">
        <v>13</v>
      </c>
      <c r="P46">
        <v>0.75</v>
      </c>
      <c r="Q46">
        <v>4</v>
      </c>
    </row>
    <row r="47" spans="1:17" x14ac:dyDescent="0.2">
      <c r="A47">
        <v>39</v>
      </c>
      <c r="B47" t="s">
        <v>76</v>
      </c>
      <c r="C47" t="s">
        <v>171</v>
      </c>
      <c r="D47" s="5">
        <v>450</v>
      </c>
      <c r="E47" t="s">
        <v>82</v>
      </c>
      <c r="F47" t="s">
        <v>83</v>
      </c>
      <c r="G47" s="1" t="s">
        <v>79</v>
      </c>
      <c r="H47" t="s">
        <v>84</v>
      </c>
      <c r="I47" t="s">
        <v>79</v>
      </c>
      <c r="J47" t="s">
        <v>79</v>
      </c>
      <c r="K47" t="s">
        <v>79</v>
      </c>
      <c r="L47" t="s">
        <v>79</v>
      </c>
      <c r="M47" t="s">
        <v>79</v>
      </c>
      <c r="N47" t="s">
        <v>90</v>
      </c>
      <c r="O47" t="s">
        <v>13</v>
      </c>
      <c r="P47">
        <v>0.75</v>
      </c>
      <c r="Q47">
        <v>4</v>
      </c>
    </row>
    <row r="48" spans="1:17" x14ac:dyDescent="0.2">
      <c r="A48">
        <v>40</v>
      </c>
      <c r="B48" t="s">
        <v>76</v>
      </c>
      <c r="C48" t="s">
        <v>172</v>
      </c>
      <c r="D48" s="5">
        <v>225</v>
      </c>
      <c r="E48" t="s">
        <v>173</v>
      </c>
      <c r="F48" t="s">
        <v>79</v>
      </c>
      <c r="G48" s="1" t="s">
        <v>79</v>
      </c>
      <c r="H48" t="s">
        <v>95</v>
      </c>
      <c r="I48" t="s">
        <v>89</v>
      </c>
      <c r="J48" t="s">
        <v>89</v>
      </c>
      <c r="K48" t="s">
        <v>89</v>
      </c>
      <c r="L48" t="s">
        <v>174</v>
      </c>
      <c r="M48" t="s">
        <v>99</v>
      </c>
      <c r="N48" t="s">
        <v>79</v>
      </c>
      <c r="O48" t="s">
        <v>79</v>
      </c>
      <c r="P48" t="s">
        <v>79</v>
      </c>
      <c r="Q48">
        <v>4</v>
      </c>
    </row>
    <row r="49" spans="1:17" x14ac:dyDescent="0.2">
      <c r="B49" t="s">
        <v>76</v>
      </c>
      <c r="C49" t="s">
        <v>175</v>
      </c>
      <c r="D49" s="5">
        <v>225</v>
      </c>
      <c r="E49" t="s">
        <v>176</v>
      </c>
      <c r="F49" t="s">
        <v>79</v>
      </c>
      <c r="G49" s="1" t="s">
        <v>79</v>
      </c>
      <c r="H49" t="s">
        <v>95</v>
      </c>
      <c r="I49" t="s">
        <v>89</v>
      </c>
      <c r="J49" t="s">
        <v>89</v>
      </c>
      <c r="K49" t="s">
        <v>89</v>
      </c>
      <c r="L49" t="s">
        <v>89</v>
      </c>
      <c r="M49" t="s">
        <v>99</v>
      </c>
      <c r="N49" t="s">
        <v>79</v>
      </c>
      <c r="O49" t="s">
        <v>79</v>
      </c>
      <c r="P49" t="s">
        <v>79</v>
      </c>
      <c r="Q49">
        <v>4</v>
      </c>
    </row>
    <row r="50" spans="1:17" x14ac:dyDescent="0.2">
      <c r="A50">
        <v>41</v>
      </c>
      <c r="B50" t="s">
        <v>76</v>
      </c>
      <c r="C50" t="s">
        <v>177</v>
      </c>
      <c r="D50" s="5">
        <v>225</v>
      </c>
      <c r="E50" t="s">
        <v>156</v>
      </c>
      <c r="F50" t="s">
        <v>79</v>
      </c>
      <c r="G50" s="1" t="s">
        <v>79</v>
      </c>
      <c r="H50" t="s">
        <v>95</v>
      </c>
      <c r="I50">
        <v>60</v>
      </c>
      <c r="J50">
        <v>2</v>
      </c>
      <c r="L50" t="s">
        <v>128</v>
      </c>
      <c r="M50" t="s">
        <v>151</v>
      </c>
      <c r="N50" t="s">
        <v>79</v>
      </c>
      <c r="O50" t="s">
        <v>79</v>
      </c>
      <c r="P50" t="s">
        <v>79</v>
      </c>
      <c r="Q50">
        <v>4</v>
      </c>
    </row>
    <row r="51" spans="1:17" x14ac:dyDescent="0.2">
      <c r="B51" t="s">
        <v>76</v>
      </c>
      <c r="C51" t="s">
        <v>178</v>
      </c>
      <c r="D51" s="5">
        <v>225</v>
      </c>
      <c r="E51" t="s">
        <v>156</v>
      </c>
      <c r="F51" t="s">
        <v>79</v>
      </c>
      <c r="G51" s="1" t="s">
        <v>79</v>
      </c>
      <c r="H51" t="s">
        <v>95</v>
      </c>
      <c r="I51">
        <v>60</v>
      </c>
      <c r="J51">
        <v>2</v>
      </c>
      <c r="L51" t="s">
        <v>179</v>
      </c>
      <c r="M51" t="s">
        <v>151</v>
      </c>
      <c r="N51" t="s">
        <v>79</v>
      </c>
      <c r="O51" t="s">
        <v>79</v>
      </c>
      <c r="P51" t="s">
        <v>79</v>
      </c>
      <c r="Q51">
        <v>4</v>
      </c>
    </row>
    <row r="52" spans="1:17" x14ac:dyDescent="0.2">
      <c r="A52">
        <v>42</v>
      </c>
      <c r="B52" t="s">
        <v>76</v>
      </c>
      <c r="C52" t="s">
        <v>180</v>
      </c>
      <c r="D52" s="5">
        <v>225</v>
      </c>
      <c r="E52" t="s">
        <v>121</v>
      </c>
      <c r="F52" t="s">
        <v>79</v>
      </c>
      <c r="G52" s="1" t="s">
        <v>79</v>
      </c>
      <c r="H52" t="s">
        <v>95</v>
      </c>
      <c r="I52">
        <v>52</v>
      </c>
      <c r="J52">
        <v>2</v>
      </c>
      <c r="L52" t="s">
        <v>181</v>
      </c>
      <c r="M52" t="s">
        <v>99</v>
      </c>
      <c r="N52" t="s">
        <v>79</v>
      </c>
      <c r="O52" t="s">
        <v>79</v>
      </c>
      <c r="P52" t="s">
        <v>79</v>
      </c>
      <c r="Q52">
        <v>4</v>
      </c>
    </row>
    <row r="53" spans="1:17" x14ac:dyDescent="0.2">
      <c r="B53" t="s">
        <v>76</v>
      </c>
      <c r="C53" t="s">
        <v>182</v>
      </c>
      <c r="D53" s="5">
        <v>225</v>
      </c>
      <c r="E53" t="s">
        <v>121</v>
      </c>
      <c r="F53" t="s">
        <v>79</v>
      </c>
      <c r="G53" s="1" t="s">
        <v>79</v>
      </c>
      <c r="H53" t="s">
        <v>95</v>
      </c>
      <c r="I53">
        <v>52</v>
      </c>
      <c r="J53">
        <v>2</v>
      </c>
      <c r="L53" t="s">
        <v>131</v>
      </c>
      <c r="M53" t="s">
        <v>97</v>
      </c>
      <c r="N53" t="s">
        <v>79</v>
      </c>
      <c r="O53" t="s">
        <v>79</v>
      </c>
      <c r="P53" t="s">
        <v>79</v>
      </c>
      <c r="Q53">
        <v>4</v>
      </c>
    </row>
    <row r="54" spans="1:17" x14ac:dyDescent="0.2">
      <c r="A54">
        <v>43</v>
      </c>
      <c r="B54" t="s">
        <v>76</v>
      </c>
      <c r="C54" t="s">
        <v>183</v>
      </c>
      <c r="D54" s="5">
        <v>450</v>
      </c>
      <c r="E54" t="s">
        <v>140</v>
      </c>
      <c r="F54" t="s">
        <v>79</v>
      </c>
      <c r="G54" s="1" t="s">
        <v>79</v>
      </c>
      <c r="H54" t="s">
        <v>95</v>
      </c>
      <c r="I54">
        <v>52</v>
      </c>
      <c r="J54">
        <v>2</v>
      </c>
      <c r="L54" t="s">
        <v>128</v>
      </c>
      <c r="M54" t="s">
        <v>97</v>
      </c>
      <c r="N54" t="s">
        <v>79</v>
      </c>
      <c r="O54" t="s">
        <v>79</v>
      </c>
      <c r="P54" t="s">
        <v>79</v>
      </c>
      <c r="Q54">
        <v>4</v>
      </c>
    </row>
    <row r="55" spans="1:17" x14ac:dyDescent="0.2">
      <c r="A55">
        <v>44</v>
      </c>
      <c r="B55" t="s">
        <v>76</v>
      </c>
      <c r="C55" t="s">
        <v>184</v>
      </c>
      <c r="D55" s="5">
        <v>450</v>
      </c>
      <c r="E55" t="s">
        <v>149</v>
      </c>
      <c r="F55" t="s">
        <v>79</v>
      </c>
      <c r="G55" s="1" t="s">
        <v>79</v>
      </c>
      <c r="H55" t="s">
        <v>95</v>
      </c>
      <c r="I55">
        <v>52</v>
      </c>
      <c r="J55">
        <v>2</v>
      </c>
      <c r="L55" t="s">
        <v>185</v>
      </c>
      <c r="M55" t="s">
        <v>186</v>
      </c>
      <c r="N55" t="s">
        <v>79</v>
      </c>
      <c r="O55" t="s">
        <v>79</v>
      </c>
      <c r="P55" t="s">
        <v>79</v>
      </c>
      <c r="Q55">
        <v>4</v>
      </c>
    </row>
    <row r="56" spans="1:17" x14ac:dyDescent="0.2">
      <c r="A56">
        <v>45</v>
      </c>
      <c r="B56" t="s">
        <v>76</v>
      </c>
      <c r="C56" t="s">
        <v>187</v>
      </c>
      <c r="D56" s="5">
        <v>450</v>
      </c>
      <c r="E56" t="s">
        <v>140</v>
      </c>
      <c r="F56" t="s">
        <v>79</v>
      </c>
      <c r="G56" s="1" t="s">
        <v>79</v>
      </c>
      <c r="H56" t="s">
        <v>95</v>
      </c>
      <c r="I56">
        <v>52</v>
      </c>
      <c r="J56">
        <v>2</v>
      </c>
      <c r="L56" t="s">
        <v>188</v>
      </c>
      <c r="M56" t="s">
        <v>97</v>
      </c>
      <c r="N56" t="s">
        <v>79</v>
      </c>
      <c r="O56" t="s">
        <v>79</v>
      </c>
      <c r="P56" t="s">
        <v>79</v>
      </c>
      <c r="Q56">
        <v>4</v>
      </c>
    </row>
    <row r="57" spans="1:17" x14ac:dyDescent="0.2">
      <c r="A57">
        <v>46</v>
      </c>
      <c r="B57" t="s">
        <v>76</v>
      </c>
      <c r="C57" t="s">
        <v>189</v>
      </c>
      <c r="D57" s="5">
        <v>450</v>
      </c>
      <c r="E57" t="s">
        <v>82</v>
      </c>
      <c r="F57" t="s">
        <v>83</v>
      </c>
      <c r="G57" s="1" t="s">
        <v>79</v>
      </c>
      <c r="H57" t="s">
        <v>84</v>
      </c>
      <c r="I57" t="s">
        <v>79</v>
      </c>
      <c r="J57" t="s">
        <v>79</v>
      </c>
      <c r="K57" t="s">
        <v>79</v>
      </c>
      <c r="L57" t="s">
        <v>79</v>
      </c>
      <c r="M57" t="s">
        <v>79</v>
      </c>
      <c r="N57" t="s">
        <v>85</v>
      </c>
      <c r="O57" t="s">
        <v>13</v>
      </c>
      <c r="P57">
        <v>0.75</v>
      </c>
      <c r="Q57">
        <v>4</v>
      </c>
    </row>
    <row r="58" spans="1:17" x14ac:dyDescent="0.2">
      <c r="A58">
        <v>47</v>
      </c>
      <c r="B58" t="s">
        <v>76</v>
      </c>
      <c r="C58" t="s">
        <v>190</v>
      </c>
      <c r="D58" s="5">
        <v>450</v>
      </c>
      <c r="E58" t="s">
        <v>82</v>
      </c>
      <c r="F58" t="s">
        <v>83</v>
      </c>
      <c r="G58" s="1" t="s">
        <v>79</v>
      </c>
      <c r="H58" t="s">
        <v>84</v>
      </c>
      <c r="I58" t="s">
        <v>79</v>
      </c>
      <c r="J58" t="s">
        <v>79</v>
      </c>
      <c r="K58" t="s">
        <v>79</v>
      </c>
      <c r="L58" t="s">
        <v>79</v>
      </c>
      <c r="M58" t="s">
        <v>79</v>
      </c>
      <c r="N58" t="s">
        <v>90</v>
      </c>
      <c r="O58" t="s">
        <v>13</v>
      </c>
      <c r="P58">
        <v>0.75</v>
      </c>
      <c r="Q58">
        <v>4</v>
      </c>
    </row>
    <row r="59" spans="1:17" x14ac:dyDescent="0.2">
      <c r="A59">
        <v>48</v>
      </c>
      <c r="B59" t="s">
        <v>76</v>
      </c>
      <c r="C59" t="s">
        <v>191</v>
      </c>
      <c r="D59" s="5">
        <v>450</v>
      </c>
      <c r="E59" t="s">
        <v>82</v>
      </c>
      <c r="F59" t="s">
        <v>83</v>
      </c>
      <c r="G59" s="1" t="s">
        <v>79</v>
      </c>
      <c r="H59" t="s">
        <v>84</v>
      </c>
      <c r="I59" t="s">
        <v>79</v>
      </c>
      <c r="J59" t="s">
        <v>79</v>
      </c>
      <c r="K59" t="s">
        <v>79</v>
      </c>
      <c r="L59" t="s">
        <v>79</v>
      </c>
      <c r="M59" t="s">
        <v>79</v>
      </c>
      <c r="N59" t="s">
        <v>85</v>
      </c>
      <c r="O59" t="s">
        <v>13</v>
      </c>
      <c r="P59">
        <v>0.75</v>
      </c>
      <c r="Q59">
        <v>4</v>
      </c>
    </row>
    <row r="60" spans="1:17" x14ac:dyDescent="0.2">
      <c r="A60">
        <v>49</v>
      </c>
      <c r="B60" t="s">
        <v>76</v>
      </c>
      <c r="C60" t="s">
        <v>192</v>
      </c>
      <c r="D60" s="5">
        <v>450</v>
      </c>
      <c r="E60" t="s">
        <v>82</v>
      </c>
      <c r="F60" t="s">
        <v>134</v>
      </c>
      <c r="G60" s="1" t="s">
        <v>79</v>
      </c>
      <c r="H60" t="s">
        <v>84</v>
      </c>
      <c r="I60" t="s">
        <v>79</v>
      </c>
      <c r="J60" t="s">
        <v>79</v>
      </c>
      <c r="K60" t="s">
        <v>79</v>
      </c>
      <c r="L60" t="s">
        <v>79</v>
      </c>
      <c r="M60" t="s">
        <v>79</v>
      </c>
      <c r="N60" t="s">
        <v>106</v>
      </c>
      <c r="O60" t="s">
        <v>13</v>
      </c>
      <c r="P60">
        <v>0.75</v>
      </c>
      <c r="Q60">
        <v>4</v>
      </c>
    </row>
    <row r="61" spans="1:17" x14ac:dyDescent="0.2">
      <c r="A61">
        <v>50</v>
      </c>
      <c r="B61" t="s">
        <v>76</v>
      </c>
      <c r="C61" t="s">
        <v>193</v>
      </c>
      <c r="D61" s="5">
        <v>450</v>
      </c>
      <c r="E61" t="s">
        <v>149</v>
      </c>
      <c r="F61" t="s">
        <v>79</v>
      </c>
      <c r="G61" s="1" t="s">
        <v>79</v>
      </c>
      <c r="H61" t="s">
        <v>95</v>
      </c>
      <c r="I61">
        <v>52</v>
      </c>
      <c r="J61">
        <v>2</v>
      </c>
      <c r="L61" t="s">
        <v>194</v>
      </c>
      <c r="M61" t="s">
        <v>165</v>
      </c>
      <c r="O61" t="s">
        <v>79</v>
      </c>
      <c r="P61" t="s">
        <v>79</v>
      </c>
      <c r="Q61">
        <v>4</v>
      </c>
    </row>
    <row r="62" spans="1:17" x14ac:dyDescent="0.2">
      <c r="A62">
        <v>51</v>
      </c>
      <c r="B62" t="s">
        <v>76</v>
      </c>
      <c r="C62" t="s">
        <v>195</v>
      </c>
      <c r="D62" s="5">
        <v>450</v>
      </c>
      <c r="E62" t="s">
        <v>82</v>
      </c>
      <c r="F62" t="s">
        <v>115</v>
      </c>
      <c r="G62" s="1" t="s">
        <v>79</v>
      </c>
      <c r="H62" t="s">
        <v>84</v>
      </c>
      <c r="I62" t="s">
        <v>79</v>
      </c>
      <c r="J62" t="s">
        <v>79</v>
      </c>
      <c r="K62" t="s">
        <v>79</v>
      </c>
      <c r="L62" t="s">
        <v>79</v>
      </c>
      <c r="M62" t="s">
        <v>79</v>
      </c>
      <c r="N62" t="s">
        <v>112</v>
      </c>
      <c r="O62" t="s">
        <v>13</v>
      </c>
      <c r="P62">
        <v>0.75</v>
      </c>
      <c r="Q62">
        <v>4</v>
      </c>
    </row>
    <row r="63" spans="1:17" x14ac:dyDescent="0.2">
      <c r="A63">
        <v>52</v>
      </c>
      <c r="B63" t="s">
        <v>76</v>
      </c>
      <c r="C63" t="s">
        <v>196</v>
      </c>
      <c r="D63" s="5">
        <v>450</v>
      </c>
      <c r="E63" t="s">
        <v>161</v>
      </c>
      <c r="F63" t="s">
        <v>89</v>
      </c>
      <c r="G63" s="1" t="s">
        <v>79</v>
      </c>
      <c r="H63" t="s">
        <v>84</v>
      </c>
      <c r="I63" t="s">
        <v>79</v>
      </c>
      <c r="J63" t="s">
        <v>79</v>
      </c>
      <c r="K63" t="s">
        <v>79</v>
      </c>
      <c r="L63" t="s">
        <v>79</v>
      </c>
      <c r="M63" t="s">
        <v>79</v>
      </c>
      <c r="N63" t="s">
        <v>85</v>
      </c>
      <c r="O63" t="s">
        <v>13</v>
      </c>
      <c r="P63">
        <v>0.75</v>
      </c>
      <c r="Q63">
        <v>4</v>
      </c>
    </row>
    <row r="64" spans="1:17" x14ac:dyDescent="0.2">
      <c r="A64">
        <v>53</v>
      </c>
      <c r="B64" t="s">
        <v>76</v>
      </c>
      <c r="C64" t="s">
        <v>197</v>
      </c>
      <c r="D64" s="5">
        <v>450</v>
      </c>
      <c r="E64" t="s">
        <v>78</v>
      </c>
      <c r="F64" t="s">
        <v>79</v>
      </c>
      <c r="G64" s="1" t="s">
        <v>79</v>
      </c>
      <c r="H64" t="s">
        <v>79</v>
      </c>
      <c r="I64" t="s">
        <v>79</v>
      </c>
      <c r="J64" t="s">
        <v>79</v>
      </c>
      <c r="K64" t="s">
        <v>79</v>
      </c>
      <c r="L64" t="s">
        <v>79</v>
      </c>
      <c r="M64" t="s">
        <v>79</v>
      </c>
      <c r="N64" t="s">
        <v>85</v>
      </c>
      <c r="O64" t="s">
        <v>13</v>
      </c>
      <c r="P64">
        <v>0.75</v>
      </c>
      <c r="Q64">
        <v>4</v>
      </c>
    </row>
    <row r="65" spans="1:17" x14ac:dyDescent="0.2">
      <c r="A65">
        <v>54</v>
      </c>
      <c r="B65" t="s">
        <v>76</v>
      </c>
      <c r="C65" t="s">
        <v>198</v>
      </c>
      <c r="D65" s="5">
        <v>450</v>
      </c>
      <c r="E65" t="s">
        <v>149</v>
      </c>
      <c r="F65" t="s">
        <v>79</v>
      </c>
      <c r="G65" s="1" t="s">
        <v>79</v>
      </c>
      <c r="H65" t="s">
        <v>95</v>
      </c>
      <c r="I65">
        <v>60</v>
      </c>
      <c r="J65">
        <v>2</v>
      </c>
      <c r="K65" t="s">
        <v>79</v>
      </c>
      <c r="L65" t="s">
        <v>185</v>
      </c>
      <c r="M65" t="s">
        <v>186</v>
      </c>
      <c r="N65" t="s">
        <v>79</v>
      </c>
      <c r="O65" t="s">
        <v>79</v>
      </c>
      <c r="P65" t="s">
        <v>79</v>
      </c>
      <c r="Q65">
        <v>4</v>
      </c>
    </row>
    <row r="66" spans="1:17" x14ac:dyDescent="0.2">
      <c r="A66">
        <v>55</v>
      </c>
      <c r="B66" t="s">
        <v>76</v>
      </c>
      <c r="C66" t="s">
        <v>199</v>
      </c>
      <c r="D66" s="5">
        <v>450</v>
      </c>
      <c r="E66" t="s">
        <v>149</v>
      </c>
      <c r="F66" t="s">
        <v>79</v>
      </c>
      <c r="G66" s="1" t="s">
        <v>79</v>
      </c>
      <c r="H66" t="s">
        <v>95</v>
      </c>
      <c r="I66">
        <v>75</v>
      </c>
      <c r="J66">
        <v>2</v>
      </c>
      <c r="K66" t="s">
        <v>79</v>
      </c>
      <c r="L66" t="s">
        <v>185</v>
      </c>
      <c r="M66" t="s">
        <v>186</v>
      </c>
      <c r="N66" t="s">
        <v>79</v>
      </c>
      <c r="O66" t="s">
        <v>79</v>
      </c>
      <c r="P66" t="s">
        <v>79</v>
      </c>
      <c r="Q66">
        <v>4</v>
      </c>
    </row>
    <row r="67" spans="1:17" x14ac:dyDescent="0.2">
      <c r="A67">
        <v>56</v>
      </c>
      <c r="B67" t="s">
        <v>76</v>
      </c>
      <c r="C67" t="s">
        <v>200</v>
      </c>
      <c r="D67" s="5">
        <v>450</v>
      </c>
      <c r="E67" t="s">
        <v>88</v>
      </c>
      <c r="F67" t="s">
        <v>89</v>
      </c>
      <c r="G67" s="1" t="s">
        <v>79</v>
      </c>
      <c r="H67" t="s">
        <v>84</v>
      </c>
      <c r="I67" t="s">
        <v>79</v>
      </c>
      <c r="J67" t="s">
        <v>79</v>
      </c>
      <c r="K67" t="s">
        <v>79</v>
      </c>
      <c r="L67" t="s">
        <v>79</v>
      </c>
      <c r="M67" t="s">
        <v>79</v>
      </c>
      <c r="N67" t="s">
        <v>90</v>
      </c>
      <c r="O67" t="s">
        <v>13</v>
      </c>
      <c r="P67">
        <v>0.75</v>
      </c>
      <c r="Q67">
        <v>4</v>
      </c>
    </row>
    <row r="68" spans="1:17" x14ac:dyDescent="0.2">
      <c r="A68">
        <v>57</v>
      </c>
      <c r="B68" t="s">
        <v>76</v>
      </c>
      <c r="C68" t="s">
        <v>201</v>
      </c>
      <c r="D68" s="5">
        <v>450</v>
      </c>
      <c r="E68" t="s">
        <v>82</v>
      </c>
      <c r="F68" t="s">
        <v>83</v>
      </c>
      <c r="G68" s="1" t="s">
        <v>79</v>
      </c>
      <c r="H68" t="s">
        <v>84</v>
      </c>
      <c r="I68" t="s">
        <v>79</v>
      </c>
      <c r="J68" t="s">
        <v>79</v>
      </c>
      <c r="K68" t="s">
        <v>79</v>
      </c>
      <c r="L68" t="s">
        <v>79</v>
      </c>
      <c r="M68" t="s">
        <v>79</v>
      </c>
      <c r="N68" t="s">
        <v>106</v>
      </c>
      <c r="O68" t="s">
        <v>13</v>
      </c>
      <c r="P68">
        <v>0.75</v>
      </c>
      <c r="Q68">
        <v>4</v>
      </c>
    </row>
    <row r="69" spans="1:17" x14ac:dyDescent="0.2">
      <c r="A69">
        <v>58</v>
      </c>
      <c r="B69" t="s">
        <v>76</v>
      </c>
      <c r="C69" t="s">
        <v>202</v>
      </c>
      <c r="D69" s="5">
        <v>450</v>
      </c>
      <c r="E69" t="s">
        <v>82</v>
      </c>
      <c r="F69" t="s">
        <v>83</v>
      </c>
      <c r="G69" s="1" t="s">
        <v>79</v>
      </c>
      <c r="H69" t="s">
        <v>84</v>
      </c>
      <c r="I69" t="s">
        <v>79</v>
      </c>
      <c r="J69" t="s">
        <v>79</v>
      </c>
      <c r="K69" t="s">
        <v>79</v>
      </c>
      <c r="L69" t="s">
        <v>79</v>
      </c>
      <c r="M69" t="s">
        <v>79</v>
      </c>
      <c r="N69" t="s">
        <v>112</v>
      </c>
      <c r="O69" t="s">
        <v>13</v>
      </c>
      <c r="P69">
        <v>0.75</v>
      </c>
      <c r="Q69">
        <v>4</v>
      </c>
    </row>
    <row r="70" spans="1:17" x14ac:dyDescent="0.2">
      <c r="A70">
        <v>59</v>
      </c>
      <c r="B70" t="s">
        <v>76</v>
      </c>
      <c r="C70" t="s">
        <v>203</v>
      </c>
      <c r="D70" s="5">
        <v>450</v>
      </c>
      <c r="E70" t="s">
        <v>149</v>
      </c>
      <c r="F70" t="s">
        <v>79</v>
      </c>
      <c r="G70" s="1" t="s">
        <v>79</v>
      </c>
      <c r="H70" t="s">
        <v>95</v>
      </c>
      <c r="I70">
        <v>60</v>
      </c>
      <c r="J70">
        <v>2</v>
      </c>
      <c r="L70" t="s">
        <v>194</v>
      </c>
      <c r="M70" t="s">
        <v>165</v>
      </c>
      <c r="N70" t="s">
        <v>79</v>
      </c>
      <c r="O70" t="s">
        <v>79</v>
      </c>
      <c r="P70" t="s">
        <v>79</v>
      </c>
      <c r="Q70">
        <v>4</v>
      </c>
    </row>
    <row r="71" spans="1:17" x14ac:dyDescent="0.2">
      <c r="A71">
        <v>60</v>
      </c>
      <c r="B71" t="s">
        <v>76</v>
      </c>
      <c r="C71" t="s">
        <v>204</v>
      </c>
      <c r="D71" s="5">
        <v>450</v>
      </c>
      <c r="E71" t="s">
        <v>149</v>
      </c>
      <c r="F71" t="s">
        <v>79</v>
      </c>
      <c r="G71" s="1" t="s">
        <v>79</v>
      </c>
      <c r="H71" t="s">
        <v>95</v>
      </c>
      <c r="I71">
        <v>75</v>
      </c>
      <c r="J71">
        <v>2</v>
      </c>
      <c r="L71" t="s">
        <v>194</v>
      </c>
      <c r="M71" t="s">
        <v>165</v>
      </c>
      <c r="N71" t="s">
        <v>79</v>
      </c>
      <c r="O71" t="s">
        <v>79</v>
      </c>
      <c r="P71" t="s">
        <v>79</v>
      </c>
      <c r="Q71">
        <v>4</v>
      </c>
    </row>
    <row r="72" spans="1:17" x14ac:dyDescent="0.2">
      <c r="A72">
        <v>61</v>
      </c>
      <c r="B72" t="s">
        <v>76</v>
      </c>
      <c r="C72" t="s">
        <v>205</v>
      </c>
      <c r="D72" s="5">
        <v>4000</v>
      </c>
      <c r="E72" t="s">
        <v>82</v>
      </c>
      <c r="F72" t="s">
        <v>206</v>
      </c>
      <c r="G72" t="s">
        <v>118</v>
      </c>
      <c r="H72" t="s">
        <v>84</v>
      </c>
      <c r="I72" t="s">
        <v>79</v>
      </c>
      <c r="J72" t="s">
        <v>79</v>
      </c>
      <c r="K72" t="s">
        <v>79</v>
      </c>
      <c r="L72" t="s">
        <v>79</v>
      </c>
      <c r="M72" t="s">
        <v>79</v>
      </c>
      <c r="N72" t="s">
        <v>207</v>
      </c>
      <c r="O72" t="s">
        <v>13</v>
      </c>
      <c r="P72">
        <v>0.75</v>
      </c>
    </row>
    <row r="73" spans="1:17" x14ac:dyDescent="0.2">
      <c r="A73">
        <v>62</v>
      </c>
      <c r="B73" t="s">
        <v>76</v>
      </c>
      <c r="C73" t="s">
        <v>208</v>
      </c>
      <c r="D73" s="5">
        <f>200*30</f>
        <v>6000</v>
      </c>
      <c r="E73" t="s">
        <v>209</v>
      </c>
      <c r="F73" t="s">
        <v>79</v>
      </c>
      <c r="G73" t="s">
        <v>79</v>
      </c>
      <c r="H73" t="s">
        <v>210</v>
      </c>
      <c r="I73" t="s">
        <v>79</v>
      </c>
      <c r="J73" t="s">
        <v>79</v>
      </c>
      <c r="K73" t="s">
        <v>79</v>
      </c>
      <c r="L73" t="s">
        <v>79</v>
      </c>
      <c r="M73" t="s">
        <v>79</v>
      </c>
      <c r="N73" t="s">
        <v>80</v>
      </c>
      <c r="O73" t="s">
        <v>79</v>
      </c>
      <c r="P73" t="s">
        <v>79</v>
      </c>
    </row>
    <row r="74" spans="1:17" x14ac:dyDescent="0.2">
      <c r="A74">
        <v>63</v>
      </c>
      <c r="B74" t="s">
        <v>76</v>
      </c>
      <c r="C74" t="s">
        <v>211</v>
      </c>
      <c r="D74" s="5">
        <f>200*15</f>
        <v>3000</v>
      </c>
      <c r="E74" t="s">
        <v>212</v>
      </c>
      <c r="F74" t="s">
        <v>79</v>
      </c>
      <c r="G74" t="s">
        <v>79</v>
      </c>
      <c r="H74" t="s">
        <v>95</v>
      </c>
      <c r="I74" t="s">
        <v>89</v>
      </c>
      <c r="J74" t="s">
        <v>89</v>
      </c>
      <c r="K74" t="s">
        <v>89</v>
      </c>
      <c r="L74" t="s">
        <v>89</v>
      </c>
      <c r="M74" t="s">
        <v>89</v>
      </c>
      <c r="N74" t="s">
        <v>79</v>
      </c>
      <c r="O74" t="s">
        <v>79</v>
      </c>
      <c r="P74" t="s">
        <v>79</v>
      </c>
    </row>
    <row r="75" spans="1:17" x14ac:dyDescent="0.2">
      <c r="A75">
        <v>64</v>
      </c>
      <c r="B75" t="s">
        <v>76</v>
      </c>
      <c r="C75" t="s">
        <v>213</v>
      </c>
      <c r="D75" s="5">
        <v>6000</v>
      </c>
      <c r="E75" t="s">
        <v>82</v>
      </c>
      <c r="F75" t="s">
        <v>134</v>
      </c>
      <c r="G75" t="s">
        <v>118</v>
      </c>
      <c r="H75" t="s">
        <v>84</v>
      </c>
      <c r="I75" t="s">
        <v>79</v>
      </c>
      <c r="J75" t="s">
        <v>79</v>
      </c>
      <c r="K75" t="s">
        <v>79</v>
      </c>
      <c r="L75" t="s">
        <v>79</v>
      </c>
      <c r="M75" t="s">
        <v>79</v>
      </c>
      <c r="N75" t="s">
        <v>214</v>
      </c>
      <c r="O75" t="s">
        <v>13</v>
      </c>
      <c r="P75">
        <v>0.75</v>
      </c>
    </row>
    <row r="76" spans="1:17" x14ac:dyDescent="0.2">
      <c r="A76">
        <v>65</v>
      </c>
      <c r="B76" t="s">
        <v>76</v>
      </c>
      <c r="C76" t="s">
        <v>215</v>
      </c>
      <c r="D76" s="5">
        <v>3000</v>
      </c>
      <c r="E76" t="s">
        <v>108</v>
      </c>
      <c r="F76" t="s">
        <v>79</v>
      </c>
      <c r="G76" t="s">
        <v>79</v>
      </c>
      <c r="H76" t="s">
        <v>109</v>
      </c>
      <c r="I76" t="s">
        <v>79</v>
      </c>
      <c r="J76" t="s">
        <v>79</v>
      </c>
      <c r="K76" t="s">
        <v>79</v>
      </c>
      <c r="L76" t="s">
        <v>79</v>
      </c>
      <c r="M76" t="s">
        <v>79</v>
      </c>
      <c r="N76" t="s">
        <v>79</v>
      </c>
      <c r="O76" t="s">
        <v>79</v>
      </c>
      <c r="P76" t="s">
        <v>79</v>
      </c>
    </row>
    <row r="77" spans="1:17" x14ac:dyDescent="0.2">
      <c r="A77">
        <v>66</v>
      </c>
      <c r="B77" t="s">
        <v>76</v>
      </c>
      <c r="C77" t="s">
        <v>216</v>
      </c>
      <c r="D77" s="5">
        <v>3000</v>
      </c>
      <c r="E77" t="s">
        <v>217</v>
      </c>
      <c r="F77" t="s">
        <v>79</v>
      </c>
      <c r="G77" t="s">
        <v>79</v>
      </c>
      <c r="H77" t="s">
        <v>95</v>
      </c>
      <c r="I77" t="s">
        <v>79</v>
      </c>
      <c r="J77" t="s">
        <v>79</v>
      </c>
      <c r="K77" t="s">
        <v>79</v>
      </c>
      <c r="L77" t="s">
        <v>79</v>
      </c>
      <c r="M77" t="s">
        <v>79</v>
      </c>
      <c r="N77" t="s">
        <v>79</v>
      </c>
      <c r="O77" t="s">
        <v>79</v>
      </c>
      <c r="P77" t="s">
        <v>79</v>
      </c>
    </row>
    <row r="78" spans="1:17" x14ac:dyDescent="0.2">
      <c r="A78">
        <v>67</v>
      </c>
      <c r="B78" t="s">
        <v>76</v>
      </c>
      <c r="C78" t="s">
        <v>218</v>
      </c>
      <c r="D78" s="5">
        <v>3000</v>
      </c>
      <c r="E78" t="s">
        <v>217</v>
      </c>
      <c r="F78" t="s">
        <v>79</v>
      </c>
      <c r="G78" t="s">
        <v>79</v>
      </c>
      <c r="H78" t="s">
        <v>95</v>
      </c>
      <c r="I78" t="s">
        <v>79</v>
      </c>
      <c r="J78" t="s">
        <v>79</v>
      </c>
      <c r="K78" t="s">
        <v>79</v>
      </c>
      <c r="L78" t="s">
        <v>79</v>
      </c>
      <c r="M78" t="s">
        <v>79</v>
      </c>
      <c r="N78" t="s">
        <v>79</v>
      </c>
      <c r="O78" t="s">
        <v>79</v>
      </c>
      <c r="P78" t="s">
        <v>79</v>
      </c>
    </row>
    <row r="79" spans="1:17" x14ac:dyDescent="0.2">
      <c r="A79">
        <v>68</v>
      </c>
      <c r="B79" t="s">
        <v>76</v>
      </c>
      <c r="C79" t="s">
        <v>219</v>
      </c>
      <c r="D79" s="5">
        <v>6000</v>
      </c>
      <c r="E79" t="s">
        <v>88</v>
      </c>
      <c r="F79" t="s">
        <v>79</v>
      </c>
      <c r="G79" t="s">
        <v>118</v>
      </c>
      <c r="H79" t="s">
        <v>84</v>
      </c>
      <c r="I79" t="s">
        <v>79</v>
      </c>
      <c r="J79" t="s">
        <v>79</v>
      </c>
      <c r="K79" t="s">
        <v>79</v>
      </c>
      <c r="L79" t="s">
        <v>79</v>
      </c>
      <c r="M79" t="s">
        <v>79</v>
      </c>
      <c r="N79" t="s">
        <v>214</v>
      </c>
      <c r="O79" t="s">
        <v>13</v>
      </c>
      <c r="P79">
        <v>0.75</v>
      </c>
    </row>
    <row r="80" spans="1:17" x14ac:dyDescent="0.2">
      <c r="A80">
        <v>69</v>
      </c>
      <c r="B80" t="s">
        <v>220</v>
      </c>
      <c r="C80" t="s">
        <v>221</v>
      </c>
      <c r="D80" s="5">
        <v>3300</v>
      </c>
      <c r="E80" t="s">
        <v>222</v>
      </c>
      <c r="F80" t="s">
        <v>79</v>
      </c>
      <c r="G80" t="s">
        <v>79</v>
      </c>
      <c r="H80" t="s">
        <v>84</v>
      </c>
      <c r="I80" t="s">
        <v>79</v>
      </c>
      <c r="J80" t="s">
        <v>79</v>
      </c>
      <c r="K80" t="s">
        <v>79</v>
      </c>
      <c r="L80" t="s">
        <v>79</v>
      </c>
      <c r="M80" t="s">
        <v>79</v>
      </c>
      <c r="N80" t="s">
        <v>223</v>
      </c>
      <c r="O80" t="s">
        <v>224</v>
      </c>
      <c r="P80">
        <v>1</v>
      </c>
    </row>
    <row r="81" spans="1:16" x14ac:dyDescent="0.2">
      <c r="A81">
        <v>70</v>
      </c>
      <c r="B81" t="s">
        <v>220</v>
      </c>
      <c r="C81" t="s">
        <v>225</v>
      </c>
      <c r="D81" s="5">
        <v>5000</v>
      </c>
      <c r="E81" t="s">
        <v>226</v>
      </c>
      <c r="F81" s="1" t="s">
        <v>227</v>
      </c>
      <c r="G81" t="s">
        <v>79</v>
      </c>
      <c r="H81" t="s">
        <v>84</v>
      </c>
      <c r="I81" t="s">
        <v>79</v>
      </c>
      <c r="J81" t="s">
        <v>79</v>
      </c>
      <c r="K81" t="s">
        <v>79</v>
      </c>
      <c r="L81" t="s">
        <v>79</v>
      </c>
      <c r="M81" t="s">
        <v>79</v>
      </c>
      <c r="N81" t="s">
        <v>223</v>
      </c>
      <c r="O81" t="s">
        <v>228</v>
      </c>
      <c r="P81">
        <v>0.5</v>
      </c>
    </row>
    <row r="82" spans="1:16" x14ac:dyDescent="0.2">
      <c r="A82">
        <v>71</v>
      </c>
      <c r="B82" t="s">
        <v>220</v>
      </c>
      <c r="C82" t="s">
        <v>229</v>
      </c>
      <c r="D82" s="5">
        <v>6000</v>
      </c>
      <c r="E82" t="s">
        <v>222</v>
      </c>
      <c r="F82" t="s">
        <v>79</v>
      </c>
      <c r="G82" t="s">
        <v>79</v>
      </c>
      <c r="H82" t="s">
        <v>84</v>
      </c>
      <c r="I82" t="s">
        <v>79</v>
      </c>
      <c r="J82" t="s">
        <v>79</v>
      </c>
      <c r="K82" t="s">
        <v>79</v>
      </c>
      <c r="L82" t="s">
        <v>79</v>
      </c>
      <c r="M82" t="s">
        <v>79</v>
      </c>
      <c r="N82" t="s">
        <v>223</v>
      </c>
      <c r="O82" t="s">
        <v>224</v>
      </c>
      <c r="P82">
        <v>1</v>
      </c>
    </row>
    <row r="83" spans="1:16" x14ac:dyDescent="0.2">
      <c r="A83">
        <v>72</v>
      </c>
      <c r="B83" t="s">
        <v>220</v>
      </c>
      <c r="C83" t="s">
        <v>230</v>
      </c>
      <c r="D83" s="5">
        <v>10500</v>
      </c>
      <c r="E83" t="s">
        <v>82</v>
      </c>
      <c r="F83" t="s">
        <v>83</v>
      </c>
      <c r="G83" t="s">
        <v>79</v>
      </c>
      <c r="H83" t="s">
        <v>84</v>
      </c>
      <c r="I83" t="s">
        <v>79</v>
      </c>
      <c r="J83" t="s">
        <v>79</v>
      </c>
      <c r="K83" t="s">
        <v>79</v>
      </c>
      <c r="L83" t="s">
        <v>79</v>
      </c>
      <c r="M83" t="s">
        <v>79</v>
      </c>
      <c r="N83" t="s">
        <v>223</v>
      </c>
      <c r="O83" t="s">
        <v>224</v>
      </c>
      <c r="P83">
        <v>2</v>
      </c>
    </row>
    <row r="84" spans="1:16" x14ac:dyDescent="0.2">
      <c r="A84">
        <v>73</v>
      </c>
      <c r="B84" t="s">
        <v>231</v>
      </c>
      <c r="C84" t="s">
        <v>232</v>
      </c>
      <c r="D84" s="5">
        <v>7500</v>
      </c>
      <c r="E84" t="s">
        <v>82</v>
      </c>
      <c r="F84" t="s">
        <v>206</v>
      </c>
      <c r="G84" t="s">
        <v>79</v>
      </c>
      <c r="H84" t="s">
        <v>84</v>
      </c>
      <c r="I84" t="s">
        <v>79</v>
      </c>
      <c r="J84" t="s">
        <v>79</v>
      </c>
      <c r="K84" t="s">
        <v>79</v>
      </c>
      <c r="L84" t="s">
        <v>79</v>
      </c>
      <c r="M84" t="s">
        <v>79</v>
      </c>
      <c r="N84" t="s">
        <v>223</v>
      </c>
      <c r="O84" t="s">
        <v>228</v>
      </c>
      <c r="P84">
        <v>0.5</v>
      </c>
    </row>
    <row r="85" spans="1:16" x14ac:dyDescent="0.2">
      <c r="A85">
        <v>74</v>
      </c>
      <c r="B85" t="s">
        <v>231</v>
      </c>
      <c r="C85" t="s">
        <v>233</v>
      </c>
      <c r="D85" s="5">
        <v>7500</v>
      </c>
      <c r="E85" t="s">
        <v>82</v>
      </c>
      <c r="F85" t="s">
        <v>234</v>
      </c>
      <c r="G85" t="s">
        <v>79</v>
      </c>
      <c r="H85" t="s">
        <v>84</v>
      </c>
      <c r="I85" t="s">
        <v>79</v>
      </c>
      <c r="J85" t="s">
        <v>79</v>
      </c>
      <c r="K85" t="s">
        <v>79</v>
      </c>
      <c r="L85" t="s">
        <v>79</v>
      </c>
      <c r="M85" t="s">
        <v>79</v>
      </c>
      <c r="N85" t="s">
        <v>223</v>
      </c>
      <c r="O85" t="s">
        <v>228</v>
      </c>
      <c r="P85">
        <v>0.5</v>
      </c>
    </row>
    <row r="86" spans="1:16" x14ac:dyDescent="0.2">
      <c r="A86">
        <v>75</v>
      </c>
      <c r="B86" t="s">
        <v>231</v>
      </c>
      <c r="C86" t="s">
        <v>235</v>
      </c>
      <c r="D86" s="5">
        <v>7500</v>
      </c>
      <c r="E86" t="s">
        <v>226</v>
      </c>
      <c r="F86" t="s">
        <v>236</v>
      </c>
      <c r="G86" t="s">
        <v>79</v>
      </c>
      <c r="H86" t="s">
        <v>84</v>
      </c>
      <c r="I86" t="s">
        <v>79</v>
      </c>
      <c r="J86" t="s">
        <v>79</v>
      </c>
      <c r="K86" t="s">
        <v>79</v>
      </c>
      <c r="L86" t="s">
        <v>79</v>
      </c>
      <c r="M86" t="s">
        <v>79</v>
      </c>
      <c r="N86" t="s">
        <v>223</v>
      </c>
      <c r="O86" t="s">
        <v>228</v>
      </c>
      <c r="P86">
        <v>0.5</v>
      </c>
    </row>
    <row r="87" spans="1:16" x14ac:dyDescent="0.2">
      <c r="A87">
        <v>76</v>
      </c>
      <c r="B87" t="s">
        <v>231</v>
      </c>
      <c r="C87" t="s">
        <v>237</v>
      </c>
      <c r="D87" s="5">
        <v>7500</v>
      </c>
      <c r="E87" t="s">
        <v>222</v>
      </c>
      <c r="F87" t="s">
        <v>79</v>
      </c>
      <c r="G87" t="s">
        <v>79</v>
      </c>
      <c r="H87" t="s">
        <v>84</v>
      </c>
      <c r="I87" t="s">
        <v>79</v>
      </c>
      <c r="J87" t="s">
        <v>79</v>
      </c>
      <c r="K87" t="s">
        <v>79</v>
      </c>
      <c r="L87" t="s">
        <v>79</v>
      </c>
      <c r="M87" t="s">
        <v>79</v>
      </c>
      <c r="N87" t="s">
        <v>223</v>
      </c>
      <c r="O87" t="s">
        <v>228</v>
      </c>
      <c r="P87">
        <v>0.5</v>
      </c>
    </row>
    <row r="88" spans="1:16" x14ac:dyDescent="0.2">
      <c r="A88">
        <v>77</v>
      </c>
      <c r="B88" t="s">
        <v>231</v>
      </c>
      <c r="C88" t="s">
        <v>238</v>
      </c>
      <c r="D88" s="5">
        <v>7500</v>
      </c>
      <c r="E88" t="s">
        <v>239</v>
      </c>
      <c r="F88" t="s">
        <v>240</v>
      </c>
      <c r="G88" t="s">
        <v>79</v>
      </c>
      <c r="H88" t="s">
        <v>84</v>
      </c>
      <c r="I88" t="s">
        <v>79</v>
      </c>
      <c r="J88" t="s">
        <v>79</v>
      </c>
      <c r="K88" t="s">
        <v>79</v>
      </c>
      <c r="L88" t="s">
        <v>79</v>
      </c>
      <c r="M88" t="s">
        <v>79</v>
      </c>
      <c r="N88" t="s">
        <v>223</v>
      </c>
      <c r="O88" t="s">
        <v>228</v>
      </c>
      <c r="P88">
        <v>0.5</v>
      </c>
    </row>
    <row r="89" spans="1:16" x14ac:dyDescent="0.2">
      <c r="A89">
        <v>78</v>
      </c>
      <c r="B89" t="s">
        <v>231</v>
      </c>
      <c r="C89" t="s">
        <v>241</v>
      </c>
      <c r="D89" s="5">
        <v>7500</v>
      </c>
      <c r="E89" t="s">
        <v>239</v>
      </c>
      <c r="F89" t="s">
        <v>240</v>
      </c>
      <c r="G89" t="s">
        <v>79</v>
      </c>
      <c r="H89" t="s">
        <v>84</v>
      </c>
      <c r="I89" t="s">
        <v>79</v>
      </c>
      <c r="J89" t="s">
        <v>79</v>
      </c>
      <c r="K89" t="s">
        <v>79</v>
      </c>
      <c r="L89" t="s">
        <v>79</v>
      </c>
      <c r="M89" t="s">
        <v>79</v>
      </c>
      <c r="N89" t="s">
        <v>223</v>
      </c>
      <c r="O89" t="s">
        <v>228</v>
      </c>
      <c r="P89">
        <v>0.5</v>
      </c>
    </row>
    <row r="90" spans="1:16" x14ac:dyDescent="0.2">
      <c r="A90">
        <v>79</v>
      </c>
      <c r="B90" t="s">
        <v>231</v>
      </c>
      <c r="C90" t="s">
        <v>242</v>
      </c>
      <c r="D90" s="5">
        <v>7500</v>
      </c>
      <c r="E90" t="s">
        <v>243</v>
      </c>
      <c r="F90" t="s">
        <v>89</v>
      </c>
      <c r="G90" t="s">
        <v>79</v>
      </c>
      <c r="H90" t="s">
        <v>84</v>
      </c>
      <c r="I90" t="s">
        <v>79</v>
      </c>
      <c r="J90" t="s">
        <v>79</v>
      </c>
      <c r="K90" t="s">
        <v>79</v>
      </c>
      <c r="L90" t="s">
        <v>79</v>
      </c>
      <c r="M90" t="s">
        <v>79</v>
      </c>
      <c r="N90" t="s">
        <v>223</v>
      </c>
      <c r="O90" t="s">
        <v>228</v>
      </c>
      <c r="P90">
        <v>0.5</v>
      </c>
    </row>
    <row r="91" spans="1:16" x14ac:dyDescent="0.2">
      <c r="A91">
        <v>80</v>
      </c>
      <c r="B91" t="s">
        <v>231</v>
      </c>
      <c r="C91" t="s">
        <v>244</v>
      </c>
      <c r="D91" s="5">
        <v>7500</v>
      </c>
      <c r="E91" t="s">
        <v>243</v>
      </c>
      <c r="F91" s="1" t="s">
        <v>89</v>
      </c>
      <c r="G91" t="s">
        <v>79</v>
      </c>
      <c r="H91" t="s">
        <v>84</v>
      </c>
      <c r="I91" t="s">
        <v>79</v>
      </c>
      <c r="J91" t="s">
        <v>79</v>
      </c>
      <c r="K91" t="s">
        <v>79</v>
      </c>
      <c r="L91" t="s">
        <v>79</v>
      </c>
      <c r="M91" t="s">
        <v>79</v>
      </c>
      <c r="N91" t="s">
        <v>223</v>
      </c>
      <c r="O91" t="s">
        <v>228</v>
      </c>
      <c r="P91">
        <v>0.5</v>
      </c>
    </row>
    <row r="92" spans="1:16" x14ac:dyDescent="0.2">
      <c r="A92">
        <v>81</v>
      </c>
      <c r="B92" t="s">
        <v>231</v>
      </c>
      <c r="C92" t="s">
        <v>245</v>
      </c>
      <c r="D92" s="5">
        <v>3000</v>
      </c>
      <c r="E92" t="s">
        <v>243</v>
      </c>
      <c r="F92" t="s">
        <v>246</v>
      </c>
      <c r="G92" t="s">
        <v>79</v>
      </c>
      <c r="H92" t="s">
        <v>84</v>
      </c>
      <c r="I92" t="s">
        <v>79</v>
      </c>
      <c r="J92" t="s">
        <v>79</v>
      </c>
      <c r="K92" t="s">
        <v>79</v>
      </c>
      <c r="L92" t="s">
        <v>79</v>
      </c>
      <c r="M92" t="s">
        <v>79</v>
      </c>
      <c r="N92" t="s">
        <v>214</v>
      </c>
      <c r="O92" t="s">
        <v>247</v>
      </c>
      <c r="P92" s="4">
        <v>0.14000000000000001</v>
      </c>
    </row>
    <row r="93" spans="1:16" x14ac:dyDescent="0.2">
      <c r="A93">
        <v>82</v>
      </c>
      <c r="B93" t="s">
        <v>231</v>
      </c>
      <c r="C93" t="s">
        <v>248</v>
      </c>
      <c r="D93" s="5">
        <v>7500</v>
      </c>
      <c r="E93" t="s">
        <v>226</v>
      </c>
      <c r="F93" t="s">
        <v>227</v>
      </c>
      <c r="G93" t="s">
        <v>79</v>
      </c>
      <c r="H93" t="s">
        <v>84</v>
      </c>
      <c r="I93" t="s">
        <v>79</v>
      </c>
      <c r="J93" t="s">
        <v>79</v>
      </c>
      <c r="K93" t="s">
        <v>79</v>
      </c>
      <c r="L93" t="s">
        <v>79</v>
      </c>
      <c r="M93" t="s">
        <v>79</v>
      </c>
      <c r="N93" t="s">
        <v>223</v>
      </c>
      <c r="O93" t="s">
        <v>228</v>
      </c>
      <c r="P93">
        <v>0.5</v>
      </c>
    </row>
    <row r="94" spans="1:16" x14ac:dyDescent="0.2">
      <c r="A94">
        <v>83</v>
      </c>
      <c r="B94" t="s">
        <v>231</v>
      </c>
      <c r="C94" t="s">
        <v>249</v>
      </c>
      <c r="D94" s="5">
        <v>7500</v>
      </c>
      <c r="E94" t="s">
        <v>226</v>
      </c>
      <c r="F94" t="s">
        <v>89</v>
      </c>
      <c r="G94" t="s">
        <v>79</v>
      </c>
      <c r="H94" t="s">
        <v>84</v>
      </c>
      <c r="I94" t="s">
        <v>79</v>
      </c>
      <c r="J94" t="s">
        <v>79</v>
      </c>
      <c r="K94" t="s">
        <v>79</v>
      </c>
      <c r="L94" t="s">
        <v>79</v>
      </c>
      <c r="M94" t="s">
        <v>79</v>
      </c>
      <c r="N94" t="s">
        <v>223</v>
      </c>
      <c r="O94" t="s">
        <v>228</v>
      </c>
      <c r="P94">
        <v>0.5</v>
      </c>
    </row>
    <row r="95" spans="1:16" x14ac:dyDescent="0.2">
      <c r="A95">
        <v>84</v>
      </c>
      <c r="B95" t="s">
        <v>231</v>
      </c>
      <c r="C95" t="s">
        <v>250</v>
      </c>
      <c r="D95" s="5">
        <v>3500</v>
      </c>
      <c r="E95" t="s">
        <v>226</v>
      </c>
      <c r="F95" t="s">
        <v>251</v>
      </c>
      <c r="G95" t="s">
        <v>79</v>
      </c>
      <c r="H95" t="s">
        <v>84</v>
      </c>
      <c r="I95" t="s">
        <v>79</v>
      </c>
      <c r="J95" t="s">
        <v>79</v>
      </c>
      <c r="K95" t="s">
        <v>79</v>
      </c>
      <c r="L95" t="s">
        <v>79</v>
      </c>
      <c r="M95" t="s">
        <v>79</v>
      </c>
      <c r="N95" t="s">
        <v>223</v>
      </c>
      <c r="O95" t="s">
        <v>247</v>
      </c>
      <c r="P95" s="4">
        <v>0.14000000000000001</v>
      </c>
    </row>
    <row r="96" spans="1:16" x14ac:dyDescent="0.2">
      <c r="A96">
        <v>85</v>
      </c>
      <c r="B96" t="s">
        <v>231</v>
      </c>
      <c r="C96" t="s">
        <v>252</v>
      </c>
      <c r="D96" s="5">
        <v>7500</v>
      </c>
      <c r="E96" t="s">
        <v>82</v>
      </c>
      <c r="F96" t="s">
        <v>83</v>
      </c>
      <c r="G96" t="s">
        <v>79</v>
      </c>
      <c r="H96" t="s">
        <v>84</v>
      </c>
      <c r="I96" t="s">
        <v>79</v>
      </c>
      <c r="J96" t="s">
        <v>79</v>
      </c>
      <c r="K96" t="s">
        <v>79</v>
      </c>
      <c r="L96" t="s">
        <v>79</v>
      </c>
      <c r="M96" t="s">
        <v>79</v>
      </c>
      <c r="N96" t="s">
        <v>223</v>
      </c>
      <c r="O96" t="s">
        <v>228</v>
      </c>
      <c r="P96">
        <v>0.5</v>
      </c>
    </row>
    <row r="97" spans="1:16" x14ac:dyDescent="0.2">
      <c r="A97">
        <v>86</v>
      </c>
      <c r="B97" t="s">
        <v>231</v>
      </c>
      <c r="C97" t="s">
        <v>253</v>
      </c>
      <c r="D97" s="5">
        <v>7500</v>
      </c>
      <c r="E97" t="s">
        <v>82</v>
      </c>
      <c r="F97" t="s">
        <v>83</v>
      </c>
      <c r="G97" t="s">
        <v>79</v>
      </c>
      <c r="H97" t="s">
        <v>84</v>
      </c>
      <c r="I97" t="s">
        <v>79</v>
      </c>
      <c r="J97" t="s">
        <v>79</v>
      </c>
      <c r="K97" t="s">
        <v>79</v>
      </c>
      <c r="L97" t="s">
        <v>79</v>
      </c>
      <c r="M97" t="s">
        <v>79</v>
      </c>
      <c r="N97" t="s">
        <v>223</v>
      </c>
      <c r="O97" t="s">
        <v>228</v>
      </c>
      <c r="P97">
        <v>0.5</v>
      </c>
    </row>
    <row r="98" spans="1:16" x14ac:dyDescent="0.2">
      <c r="A98">
        <v>87</v>
      </c>
      <c r="B98" t="s">
        <v>231</v>
      </c>
      <c r="C98" t="s">
        <v>254</v>
      </c>
      <c r="D98" s="5">
        <v>8000</v>
      </c>
      <c r="E98" t="s">
        <v>82</v>
      </c>
      <c r="F98" t="s">
        <v>255</v>
      </c>
      <c r="G98" t="s">
        <v>79</v>
      </c>
      <c r="H98" t="s">
        <v>84</v>
      </c>
      <c r="I98" t="s">
        <v>79</v>
      </c>
      <c r="J98" t="s">
        <v>79</v>
      </c>
      <c r="K98" t="s">
        <v>79</v>
      </c>
      <c r="L98" t="s">
        <v>79</v>
      </c>
      <c r="M98" t="s">
        <v>79</v>
      </c>
      <c r="N98" t="s">
        <v>214</v>
      </c>
      <c r="O98" t="s">
        <v>247</v>
      </c>
      <c r="P98" s="4">
        <v>0.14000000000000001</v>
      </c>
    </row>
    <row r="99" spans="1:16" x14ac:dyDescent="0.2">
      <c r="A99">
        <v>88</v>
      </c>
      <c r="B99" t="s">
        <v>231</v>
      </c>
      <c r="C99" t="s">
        <v>256</v>
      </c>
      <c r="D99" s="5">
        <v>3500</v>
      </c>
      <c r="E99" t="s">
        <v>243</v>
      </c>
      <c r="F99" t="s">
        <v>257</v>
      </c>
      <c r="G99" t="s">
        <v>79</v>
      </c>
      <c r="H99" t="s">
        <v>84</v>
      </c>
      <c r="I99" t="s">
        <v>79</v>
      </c>
      <c r="J99" t="s">
        <v>79</v>
      </c>
      <c r="K99" t="s">
        <v>79</v>
      </c>
      <c r="L99" t="s">
        <v>79</v>
      </c>
      <c r="M99" t="s">
        <v>79</v>
      </c>
      <c r="N99" t="s">
        <v>214</v>
      </c>
      <c r="O99" t="s">
        <v>247</v>
      </c>
      <c r="P99" s="4">
        <v>0.14000000000000001</v>
      </c>
    </row>
    <row r="100" spans="1:16" x14ac:dyDescent="0.2">
      <c r="A100">
        <v>89</v>
      </c>
      <c r="B100" t="s">
        <v>231</v>
      </c>
      <c r="C100" t="s">
        <v>258</v>
      </c>
      <c r="D100" s="5">
        <v>2600</v>
      </c>
      <c r="E100" t="s">
        <v>226</v>
      </c>
      <c r="F100" t="s">
        <v>89</v>
      </c>
      <c r="G100" t="s">
        <v>79</v>
      </c>
      <c r="H100" t="s">
        <v>84</v>
      </c>
      <c r="I100" t="s">
        <v>79</v>
      </c>
      <c r="J100" t="s">
        <v>79</v>
      </c>
      <c r="K100" t="s">
        <v>79</v>
      </c>
      <c r="L100" t="s">
        <v>79</v>
      </c>
      <c r="M100" t="s">
        <v>79</v>
      </c>
      <c r="N100" t="s">
        <v>214</v>
      </c>
      <c r="O100" t="s">
        <v>228</v>
      </c>
      <c r="P100" s="4">
        <v>0.5</v>
      </c>
    </row>
    <row r="101" spans="1:16" x14ac:dyDescent="0.2">
      <c r="A101">
        <v>90</v>
      </c>
      <c r="B101" t="s">
        <v>231</v>
      </c>
      <c r="C101" t="s">
        <v>259</v>
      </c>
      <c r="D101" s="5">
        <v>5000</v>
      </c>
      <c r="E101" t="s">
        <v>243</v>
      </c>
      <c r="F101" t="s">
        <v>260</v>
      </c>
      <c r="G101" t="s">
        <v>79</v>
      </c>
      <c r="H101" t="s">
        <v>84</v>
      </c>
      <c r="I101" t="s">
        <v>79</v>
      </c>
      <c r="J101" t="s">
        <v>79</v>
      </c>
      <c r="K101" t="s">
        <v>79</v>
      </c>
      <c r="L101" t="s">
        <v>79</v>
      </c>
      <c r="M101" t="s">
        <v>79</v>
      </c>
      <c r="N101" t="s">
        <v>214</v>
      </c>
      <c r="O101" t="s">
        <v>247</v>
      </c>
      <c r="P101" s="4">
        <v>0.14000000000000001</v>
      </c>
    </row>
    <row r="102" spans="1:16" x14ac:dyDescent="0.2">
      <c r="A102">
        <v>91</v>
      </c>
      <c r="B102" t="s">
        <v>261</v>
      </c>
      <c r="C102" t="s">
        <v>262</v>
      </c>
      <c r="D102" s="5">
        <v>7500</v>
      </c>
      <c r="E102" t="s">
        <v>263</v>
      </c>
      <c r="F102" t="s">
        <v>89</v>
      </c>
      <c r="G102" t="s">
        <v>79</v>
      </c>
      <c r="H102" t="s">
        <v>84</v>
      </c>
      <c r="I102" t="s">
        <v>79</v>
      </c>
      <c r="J102" t="s">
        <v>79</v>
      </c>
      <c r="K102" t="s">
        <v>79</v>
      </c>
      <c r="L102" t="s">
        <v>79</v>
      </c>
      <c r="M102" t="s">
        <v>79</v>
      </c>
      <c r="N102" t="s">
        <v>223</v>
      </c>
      <c r="O102" t="s">
        <v>224</v>
      </c>
      <c r="P102">
        <v>4.5</v>
      </c>
    </row>
    <row r="103" spans="1:16" x14ac:dyDescent="0.2">
      <c r="A103">
        <v>92</v>
      </c>
      <c r="B103" t="s">
        <v>261</v>
      </c>
      <c r="C103" t="s">
        <v>264</v>
      </c>
      <c r="D103" s="5">
        <v>7500</v>
      </c>
      <c r="E103" t="s">
        <v>88</v>
      </c>
      <c r="F103" t="s">
        <v>89</v>
      </c>
      <c r="G103" t="s">
        <v>79</v>
      </c>
      <c r="H103" t="s">
        <v>84</v>
      </c>
      <c r="I103" t="s">
        <v>79</v>
      </c>
      <c r="J103" t="s">
        <v>79</v>
      </c>
      <c r="K103" t="s">
        <v>79</v>
      </c>
      <c r="L103" t="s">
        <v>79</v>
      </c>
      <c r="M103" t="s">
        <v>79</v>
      </c>
      <c r="N103" t="s">
        <v>223</v>
      </c>
      <c r="O103" t="s">
        <v>224</v>
      </c>
      <c r="P103">
        <v>3.5</v>
      </c>
    </row>
    <row r="104" spans="1:16" x14ac:dyDescent="0.2">
      <c r="A104">
        <v>93</v>
      </c>
      <c r="B104" t="s">
        <v>261</v>
      </c>
      <c r="C104" t="s">
        <v>265</v>
      </c>
      <c r="D104" s="5">
        <v>7500</v>
      </c>
      <c r="E104" t="s">
        <v>222</v>
      </c>
      <c r="F104" t="s">
        <v>79</v>
      </c>
      <c r="G104" t="s">
        <v>79</v>
      </c>
      <c r="H104" t="s">
        <v>84</v>
      </c>
      <c r="I104" t="s">
        <v>79</v>
      </c>
      <c r="J104" t="s">
        <v>79</v>
      </c>
      <c r="K104" t="s">
        <v>79</v>
      </c>
      <c r="L104" t="s">
        <v>79</v>
      </c>
      <c r="M104" t="s">
        <v>79</v>
      </c>
      <c r="N104" t="s">
        <v>223</v>
      </c>
      <c r="O104" t="s">
        <v>224</v>
      </c>
      <c r="P104">
        <v>3</v>
      </c>
    </row>
    <row r="105" spans="1:16" x14ac:dyDescent="0.2">
      <c r="A105">
        <v>94</v>
      </c>
      <c r="B105" t="s">
        <v>261</v>
      </c>
      <c r="C105" t="s">
        <v>266</v>
      </c>
      <c r="D105" s="5">
        <v>7500</v>
      </c>
      <c r="E105" t="s">
        <v>222</v>
      </c>
      <c r="F105" t="s">
        <v>79</v>
      </c>
      <c r="G105" t="s">
        <v>79</v>
      </c>
      <c r="H105" t="s">
        <v>84</v>
      </c>
      <c r="I105" t="s">
        <v>79</v>
      </c>
      <c r="J105" t="s">
        <v>79</v>
      </c>
      <c r="K105" t="s">
        <v>79</v>
      </c>
      <c r="L105" t="s">
        <v>79</v>
      </c>
      <c r="M105" t="s">
        <v>79</v>
      </c>
      <c r="N105" t="s">
        <v>223</v>
      </c>
      <c r="O105" t="s">
        <v>224</v>
      </c>
      <c r="P105">
        <v>3</v>
      </c>
    </row>
    <row r="106" spans="1:16" x14ac:dyDescent="0.2">
      <c r="A106">
        <v>95</v>
      </c>
      <c r="B106" t="s">
        <v>261</v>
      </c>
      <c r="C106" t="s">
        <v>267</v>
      </c>
      <c r="D106" s="5">
        <v>7500</v>
      </c>
      <c r="E106" t="s">
        <v>88</v>
      </c>
      <c r="F106" s="1" t="s">
        <v>268</v>
      </c>
      <c r="G106" t="s">
        <v>79</v>
      </c>
      <c r="H106" t="s">
        <v>84</v>
      </c>
      <c r="I106" t="s">
        <v>79</v>
      </c>
      <c r="J106" t="s">
        <v>79</v>
      </c>
      <c r="K106" t="s">
        <v>79</v>
      </c>
      <c r="L106" t="s">
        <v>79</v>
      </c>
      <c r="M106" t="s">
        <v>79</v>
      </c>
      <c r="N106" t="s">
        <v>223</v>
      </c>
      <c r="O106" t="s">
        <v>224</v>
      </c>
      <c r="P106">
        <v>3.5</v>
      </c>
    </row>
    <row r="107" spans="1:16" x14ac:dyDescent="0.2">
      <c r="A107">
        <v>96</v>
      </c>
      <c r="B107" t="s">
        <v>261</v>
      </c>
      <c r="C107" t="s">
        <v>269</v>
      </c>
      <c r="D107" s="5">
        <v>7500</v>
      </c>
      <c r="E107" t="s">
        <v>270</v>
      </c>
      <c r="F107" t="s">
        <v>271</v>
      </c>
      <c r="G107" t="s">
        <v>79</v>
      </c>
      <c r="H107" t="s">
        <v>84</v>
      </c>
      <c r="I107" t="s">
        <v>79</v>
      </c>
      <c r="J107" t="s">
        <v>79</v>
      </c>
      <c r="K107" t="s">
        <v>79</v>
      </c>
      <c r="L107" t="s">
        <v>79</v>
      </c>
      <c r="M107" t="s">
        <v>79</v>
      </c>
      <c r="N107" t="s">
        <v>223</v>
      </c>
      <c r="O107" t="s">
        <v>224</v>
      </c>
      <c r="P107">
        <v>3.5</v>
      </c>
    </row>
    <row r="108" spans="1:16" x14ac:dyDescent="0.2">
      <c r="A108">
        <v>97</v>
      </c>
      <c r="B108" t="s">
        <v>261</v>
      </c>
      <c r="C108" t="s">
        <v>272</v>
      </c>
      <c r="D108" s="5">
        <v>3250</v>
      </c>
      <c r="E108" t="s">
        <v>270</v>
      </c>
      <c r="F108" t="s">
        <v>89</v>
      </c>
      <c r="G108" t="s">
        <v>79</v>
      </c>
      <c r="H108" t="s">
        <v>84</v>
      </c>
      <c r="I108" t="s">
        <v>79</v>
      </c>
      <c r="J108" t="s">
        <v>79</v>
      </c>
      <c r="K108" t="s">
        <v>79</v>
      </c>
      <c r="L108" t="s">
        <v>79</v>
      </c>
      <c r="M108" t="s">
        <v>79</v>
      </c>
      <c r="N108" t="s">
        <v>223</v>
      </c>
      <c r="O108" t="s">
        <v>224</v>
      </c>
      <c r="P108">
        <v>3.5</v>
      </c>
    </row>
    <row r="109" spans="1:16" x14ac:dyDescent="0.2">
      <c r="B109" t="s">
        <v>261</v>
      </c>
      <c r="C109" t="s">
        <v>273</v>
      </c>
      <c r="D109" s="5">
        <v>3250</v>
      </c>
      <c r="E109" t="s">
        <v>88</v>
      </c>
      <c r="F109" t="s">
        <v>89</v>
      </c>
      <c r="G109" t="s">
        <v>79</v>
      </c>
      <c r="H109" t="s">
        <v>84</v>
      </c>
      <c r="I109" t="s">
        <v>79</v>
      </c>
      <c r="J109" t="s">
        <v>79</v>
      </c>
      <c r="K109" t="s">
        <v>79</v>
      </c>
      <c r="L109" t="s">
        <v>79</v>
      </c>
      <c r="M109" t="s">
        <v>79</v>
      </c>
      <c r="N109" t="s">
        <v>223</v>
      </c>
      <c r="O109" t="s">
        <v>224</v>
      </c>
    </row>
    <row r="110" spans="1:16" x14ac:dyDescent="0.2">
      <c r="A110">
        <v>98</v>
      </c>
      <c r="B110" t="s">
        <v>261</v>
      </c>
      <c r="C110" t="s">
        <v>274</v>
      </c>
      <c r="D110" s="5">
        <v>7500</v>
      </c>
      <c r="E110" t="s">
        <v>222</v>
      </c>
      <c r="F110" t="s">
        <v>79</v>
      </c>
      <c r="G110" t="s">
        <v>79</v>
      </c>
      <c r="H110" t="s">
        <v>84</v>
      </c>
      <c r="I110" t="s">
        <v>79</v>
      </c>
      <c r="J110" t="s">
        <v>79</v>
      </c>
      <c r="K110" t="s">
        <v>79</v>
      </c>
      <c r="L110" t="s">
        <v>79</v>
      </c>
      <c r="M110" t="s">
        <v>79</v>
      </c>
      <c r="N110" t="s">
        <v>223</v>
      </c>
      <c r="O110" t="s">
        <v>224</v>
      </c>
      <c r="P110">
        <v>3</v>
      </c>
    </row>
    <row r="111" spans="1:16" x14ac:dyDescent="0.2">
      <c r="A111">
        <v>99</v>
      </c>
      <c r="B111" t="s">
        <v>261</v>
      </c>
      <c r="C111" t="s">
        <v>275</v>
      </c>
      <c r="D111" s="5">
        <v>7500</v>
      </c>
      <c r="E111" t="s">
        <v>270</v>
      </c>
      <c r="F111" t="s">
        <v>89</v>
      </c>
      <c r="G111" t="s">
        <v>79</v>
      </c>
      <c r="H111" t="s">
        <v>84</v>
      </c>
      <c r="I111" t="s">
        <v>79</v>
      </c>
      <c r="J111" t="s">
        <v>79</v>
      </c>
      <c r="K111" t="s">
        <v>79</v>
      </c>
      <c r="L111" t="s">
        <v>79</v>
      </c>
      <c r="M111" t="s">
        <v>79</v>
      </c>
      <c r="N111" t="s">
        <v>223</v>
      </c>
      <c r="O111" t="s">
        <v>224</v>
      </c>
      <c r="P111">
        <v>4.5</v>
      </c>
    </row>
    <row r="112" spans="1:16" x14ac:dyDescent="0.2">
      <c r="A112">
        <v>100</v>
      </c>
      <c r="B112" t="s">
        <v>261</v>
      </c>
      <c r="C112" t="s">
        <v>276</v>
      </c>
      <c r="D112" s="5">
        <v>7500</v>
      </c>
      <c r="E112" t="s">
        <v>82</v>
      </c>
      <c r="F112" t="s">
        <v>255</v>
      </c>
      <c r="G112" t="s">
        <v>79</v>
      </c>
      <c r="H112" t="s">
        <v>84</v>
      </c>
      <c r="I112" t="s">
        <v>79</v>
      </c>
      <c r="J112" t="s">
        <v>79</v>
      </c>
      <c r="K112" t="s">
        <v>79</v>
      </c>
      <c r="L112" t="s">
        <v>79</v>
      </c>
      <c r="M112" t="s">
        <v>79</v>
      </c>
      <c r="N112" t="s">
        <v>214</v>
      </c>
      <c r="O112" t="s">
        <v>247</v>
      </c>
      <c r="P112" s="4">
        <v>0.14000000000000001</v>
      </c>
    </row>
    <row r="113" spans="1:16" x14ac:dyDescent="0.2">
      <c r="A113">
        <v>101</v>
      </c>
      <c r="B113" t="s">
        <v>261</v>
      </c>
      <c r="C113" t="s">
        <v>277</v>
      </c>
      <c r="D113" s="5">
        <v>7500</v>
      </c>
      <c r="E113" t="s">
        <v>82</v>
      </c>
      <c r="F113" t="s">
        <v>255</v>
      </c>
      <c r="G113" t="s">
        <v>79</v>
      </c>
      <c r="H113" t="s">
        <v>84</v>
      </c>
      <c r="I113" t="s">
        <v>79</v>
      </c>
      <c r="J113" t="s">
        <v>79</v>
      </c>
      <c r="K113" t="s">
        <v>79</v>
      </c>
      <c r="L113" t="s">
        <v>79</v>
      </c>
      <c r="M113" t="s">
        <v>79</v>
      </c>
      <c r="N113" t="s">
        <v>214</v>
      </c>
      <c r="O113" t="s">
        <v>247</v>
      </c>
      <c r="P113" s="4">
        <v>0.14000000000000001</v>
      </c>
    </row>
    <row r="114" spans="1:16" x14ac:dyDescent="0.2">
      <c r="A114">
        <v>102</v>
      </c>
      <c r="B114" t="s">
        <v>261</v>
      </c>
      <c r="C114" t="s">
        <v>278</v>
      </c>
      <c r="D114" s="5">
        <v>7500</v>
      </c>
      <c r="E114" t="s">
        <v>279</v>
      </c>
      <c r="F114" t="s">
        <v>271</v>
      </c>
      <c r="G114" t="s">
        <v>79</v>
      </c>
      <c r="H114" t="s">
        <v>84</v>
      </c>
      <c r="I114" t="s">
        <v>79</v>
      </c>
      <c r="J114" t="s">
        <v>79</v>
      </c>
      <c r="K114" t="s">
        <v>79</v>
      </c>
      <c r="L114" t="s">
        <v>79</v>
      </c>
      <c r="M114" t="s">
        <v>79</v>
      </c>
      <c r="N114" t="s">
        <v>223</v>
      </c>
      <c r="O114" t="s">
        <v>224</v>
      </c>
      <c r="P114">
        <v>3.5</v>
      </c>
    </row>
    <row r="115" spans="1:16" x14ac:dyDescent="0.2">
      <c r="A115">
        <v>103</v>
      </c>
      <c r="B115" t="s">
        <v>261</v>
      </c>
      <c r="C115" t="s">
        <v>280</v>
      </c>
      <c r="D115" s="5">
        <v>7500</v>
      </c>
      <c r="E115" t="s">
        <v>279</v>
      </c>
      <c r="F115" t="s">
        <v>271</v>
      </c>
      <c r="G115" t="s">
        <v>79</v>
      </c>
      <c r="H115" t="s">
        <v>84</v>
      </c>
      <c r="I115" t="s">
        <v>79</v>
      </c>
      <c r="J115" t="s">
        <v>79</v>
      </c>
      <c r="K115" t="s">
        <v>79</v>
      </c>
      <c r="L115" t="s">
        <v>79</v>
      </c>
      <c r="M115" t="s">
        <v>79</v>
      </c>
      <c r="N115" t="s">
        <v>223</v>
      </c>
      <c r="O115" t="s">
        <v>224</v>
      </c>
      <c r="P115">
        <v>3.5</v>
      </c>
    </row>
    <row r="116" spans="1:16" x14ac:dyDescent="0.2">
      <c r="A116">
        <v>104</v>
      </c>
      <c r="B116" t="s">
        <v>261</v>
      </c>
      <c r="C116" t="s">
        <v>281</v>
      </c>
      <c r="D116" s="5">
        <v>4500</v>
      </c>
      <c r="E116" t="s">
        <v>88</v>
      </c>
      <c r="F116" t="s">
        <v>282</v>
      </c>
      <c r="G116" t="s">
        <v>79</v>
      </c>
      <c r="H116" t="s">
        <v>84</v>
      </c>
      <c r="I116" t="s">
        <v>79</v>
      </c>
      <c r="J116" t="s">
        <v>79</v>
      </c>
      <c r="K116" t="s">
        <v>79</v>
      </c>
      <c r="L116" t="s">
        <v>79</v>
      </c>
      <c r="M116" t="s">
        <v>79</v>
      </c>
      <c r="N116" t="s">
        <v>223</v>
      </c>
      <c r="O116" t="s">
        <v>224</v>
      </c>
      <c r="P116">
        <v>3</v>
      </c>
    </row>
    <row r="117" spans="1:16" x14ac:dyDescent="0.2">
      <c r="A117">
        <v>105</v>
      </c>
      <c r="B117" t="s">
        <v>261</v>
      </c>
      <c r="C117" t="s">
        <v>283</v>
      </c>
      <c r="D117" s="5">
        <v>3000</v>
      </c>
      <c r="E117" t="s">
        <v>88</v>
      </c>
      <c r="F117" t="s">
        <v>282</v>
      </c>
      <c r="G117" t="s">
        <v>79</v>
      </c>
      <c r="H117" t="s">
        <v>84</v>
      </c>
      <c r="I117" t="s">
        <v>79</v>
      </c>
      <c r="J117" t="s">
        <v>79</v>
      </c>
      <c r="K117" t="s">
        <v>79</v>
      </c>
      <c r="L117" t="s">
        <v>79</v>
      </c>
      <c r="M117" t="s">
        <v>79</v>
      </c>
      <c r="N117" t="s">
        <v>223</v>
      </c>
      <c r="O117" t="s">
        <v>224</v>
      </c>
      <c r="P117">
        <v>3</v>
      </c>
    </row>
    <row r="118" spans="1:16" x14ac:dyDescent="0.2">
      <c r="A118">
        <v>106</v>
      </c>
      <c r="B118" t="s">
        <v>284</v>
      </c>
      <c r="C118" t="s">
        <v>285</v>
      </c>
      <c r="D118" s="5">
        <v>5100</v>
      </c>
      <c r="E118" t="s">
        <v>226</v>
      </c>
      <c r="F118" t="s">
        <v>89</v>
      </c>
      <c r="G118" t="s">
        <v>79</v>
      </c>
      <c r="H118" t="s">
        <v>84</v>
      </c>
      <c r="I118" t="s">
        <v>79</v>
      </c>
      <c r="J118" t="s">
        <v>79</v>
      </c>
      <c r="K118" t="s">
        <v>79</v>
      </c>
      <c r="L118" t="s">
        <v>79</v>
      </c>
      <c r="M118" t="s">
        <v>79</v>
      </c>
      <c r="N118" t="s">
        <v>223</v>
      </c>
      <c r="O118" t="s">
        <v>13</v>
      </c>
      <c r="P118">
        <v>0.75</v>
      </c>
    </row>
    <row r="119" spans="1:16" x14ac:dyDescent="0.2">
      <c r="A119">
        <v>107</v>
      </c>
      <c r="B119" t="s">
        <v>284</v>
      </c>
      <c r="C119" t="s">
        <v>286</v>
      </c>
      <c r="D119" s="5">
        <v>5100</v>
      </c>
      <c r="E119" t="s">
        <v>287</v>
      </c>
      <c r="F119" t="s">
        <v>115</v>
      </c>
      <c r="G119" t="s">
        <v>79</v>
      </c>
      <c r="H119" t="s">
        <v>84</v>
      </c>
      <c r="I119" t="s">
        <v>79</v>
      </c>
      <c r="J119" t="s">
        <v>79</v>
      </c>
      <c r="K119" t="s">
        <v>79</v>
      </c>
      <c r="L119" t="s">
        <v>79</v>
      </c>
      <c r="M119" t="s">
        <v>79</v>
      </c>
      <c r="N119" t="s">
        <v>223</v>
      </c>
      <c r="O119" t="s">
        <v>13</v>
      </c>
      <c r="P119">
        <v>0.75</v>
      </c>
    </row>
    <row r="120" spans="1:16" x14ac:dyDescent="0.2">
      <c r="A120">
        <v>108</v>
      </c>
      <c r="B120" t="s">
        <v>284</v>
      </c>
      <c r="C120" t="s">
        <v>288</v>
      </c>
      <c r="D120" s="5">
        <v>5100</v>
      </c>
      <c r="E120" t="s">
        <v>78</v>
      </c>
      <c r="F120" t="s">
        <v>79</v>
      </c>
      <c r="G120" t="s">
        <v>79</v>
      </c>
      <c r="H120" t="s">
        <v>84</v>
      </c>
      <c r="I120" t="s">
        <v>79</v>
      </c>
      <c r="J120" t="s">
        <v>79</v>
      </c>
      <c r="K120" t="s">
        <v>79</v>
      </c>
      <c r="L120" t="s">
        <v>79</v>
      </c>
      <c r="M120" t="s">
        <v>79</v>
      </c>
      <c r="N120" t="s">
        <v>223</v>
      </c>
      <c r="O120" t="s">
        <v>79</v>
      </c>
      <c r="P120" t="s">
        <v>79</v>
      </c>
    </row>
    <row r="121" spans="1:16" x14ac:dyDescent="0.2">
      <c r="A121">
        <v>109</v>
      </c>
      <c r="B121" t="s">
        <v>284</v>
      </c>
      <c r="C121" t="s">
        <v>289</v>
      </c>
      <c r="D121" s="5">
        <v>5100</v>
      </c>
      <c r="E121" t="s">
        <v>290</v>
      </c>
      <c r="F121" t="s">
        <v>291</v>
      </c>
      <c r="G121" t="s">
        <v>79</v>
      </c>
      <c r="H121" t="s">
        <v>84</v>
      </c>
      <c r="I121" t="s">
        <v>79</v>
      </c>
      <c r="J121" t="s">
        <v>79</v>
      </c>
      <c r="K121" t="s">
        <v>79</v>
      </c>
      <c r="L121" t="s">
        <v>79</v>
      </c>
      <c r="M121" t="s">
        <v>79</v>
      </c>
      <c r="N121" t="s">
        <v>223</v>
      </c>
      <c r="O121" t="s">
        <v>79</v>
      </c>
      <c r="P121" t="s">
        <v>79</v>
      </c>
    </row>
    <row r="122" spans="1:16" x14ac:dyDescent="0.2">
      <c r="A122">
        <v>110</v>
      </c>
      <c r="B122" t="s">
        <v>284</v>
      </c>
      <c r="C122" t="s">
        <v>292</v>
      </c>
      <c r="D122" s="5">
        <v>15000</v>
      </c>
      <c r="E122" t="s">
        <v>226</v>
      </c>
      <c r="F122" t="s">
        <v>293</v>
      </c>
      <c r="G122" t="s">
        <v>79</v>
      </c>
      <c r="H122" t="s">
        <v>84</v>
      </c>
      <c r="I122" t="s">
        <v>79</v>
      </c>
      <c r="J122" t="s">
        <v>79</v>
      </c>
      <c r="K122" t="s">
        <v>79</v>
      </c>
      <c r="L122" t="s">
        <v>79</v>
      </c>
      <c r="M122" t="s">
        <v>79</v>
      </c>
      <c r="N122" t="s">
        <v>223</v>
      </c>
      <c r="O122" t="s">
        <v>224</v>
      </c>
      <c r="P122">
        <v>3</v>
      </c>
    </row>
    <row r="123" spans="1:16" x14ac:dyDescent="0.2">
      <c r="A123">
        <v>111</v>
      </c>
      <c r="B123" t="s">
        <v>294</v>
      </c>
      <c r="C123" t="s">
        <v>295</v>
      </c>
      <c r="D123" s="5">
        <v>2500</v>
      </c>
      <c r="E123" t="s">
        <v>78</v>
      </c>
      <c r="F123" t="s">
        <v>79</v>
      </c>
      <c r="G123" t="s">
        <v>79</v>
      </c>
      <c r="H123" t="s">
        <v>79</v>
      </c>
      <c r="I123" t="s">
        <v>79</v>
      </c>
      <c r="J123" t="s">
        <v>79</v>
      </c>
      <c r="K123" t="s">
        <v>79</v>
      </c>
      <c r="L123" t="s">
        <v>79</v>
      </c>
      <c r="M123" t="s">
        <v>79</v>
      </c>
      <c r="N123" t="s">
        <v>223</v>
      </c>
      <c r="O123" t="s">
        <v>79</v>
      </c>
      <c r="P123" t="s">
        <v>79</v>
      </c>
    </row>
    <row r="124" spans="1:16" x14ac:dyDescent="0.2">
      <c r="A124">
        <v>112</v>
      </c>
      <c r="B124" t="s">
        <v>294</v>
      </c>
      <c r="C124" t="s">
        <v>296</v>
      </c>
      <c r="D124" s="5">
        <v>3400</v>
      </c>
      <c r="E124" t="s">
        <v>78</v>
      </c>
      <c r="F124" t="s">
        <v>79</v>
      </c>
      <c r="G124" t="s">
        <v>79</v>
      </c>
      <c r="H124" t="s">
        <v>79</v>
      </c>
      <c r="I124" t="s">
        <v>79</v>
      </c>
      <c r="J124" t="s">
        <v>79</v>
      </c>
      <c r="K124" t="s">
        <v>79</v>
      </c>
      <c r="L124" t="s">
        <v>79</v>
      </c>
      <c r="M124" t="s">
        <v>79</v>
      </c>
      <c r="N124" t="s">
        <v>223</v>
      </c>
      <c r="O124" t="s">
        <v>79</v>
      </c>
      <c r="P124" t="s">
        <v>79</v>
      </c>
    </row>
    <row r="125" spans="1:16" x14ac:dyDescent="0.2">
      <c r="A125">
        <v>113</v>
      </c>
      <c r="B125" t="s">
        <v>294</v>
      </c>
      <c r="C125" t="s">
        <v>297</v>
      </c>
      <c r="D125" s="5">
        <v>3400</v>
      </c>
      <c r="E125" t="s">
        <v>78</v>
      </c>
      <c r="F125" t="s">
        <v>79</v>
      </c>
      <c r="G125" t="s">
        <v>79</v>
      </c>
      <c r="H125" t="s">
        <v>79</v>
      </c>
      <c r="I125" t="s">
        <v>79</v>
      </c>
      <c r="J125" t="s">
        <v>79</v>
      </c>
      <c r="K125" t="s">
        <v>79</v>
      </c>
      <c r="L125" t="s">
        <v>79</v>
      </c>
      <c r="M125" t="s">
        <v>79</v>
      </c>
      <c r="N125" t="s">
        <v>223</v>
      </c>
      <c r="O125" t="s">
        <v>79</v>
      </c>
      <c r="P125" t="s">
        <v>79</v>
      </c>
    </row>
    <row r="126" spans="1:16" x14ac:dyDescent="0.2">
      <c r="A126">
        <v>114</v>
      </c>
      <c r="B126" t="s">
        <v>294</v>
      </c>
      <c r="C126" t="s">
        <v>298</v>
      </c>
      <c r="D126" s="5">
        <v>3400</v>
      </c>
      <c r="E126" t="s">
        <v>82</v>
      </c>
      <c r="F126" t="s">
        <v>206</v>
      </c>
      <c r="G126" t="s">
        <v>79</v>
      </c>
      <c r="H126" t="s">
        <v>84</v>
      </c>
      <c r="I126" t="s">
        <v>79</v>
      </c>
      <c r="J126" t="s">
        <v>79</v>
      </c>
      <c r="K126" t="s">
        <v>79</v>
      </c>
      <c r="L126" t="s">
        <v>79</v>
      </c>
      <c r="M126" t="s">
        <v>79</v>
      </c>
      <c r="N126" t="s">
        <v>223</v>
      </c>
      <c r="O126" t="s">
        <v>13</v>
      </c>
      <c r="P126">
        <v>0.75</v>
      </c>
    </row>
    <row r="127" spans="1:16" x14ac:dyDescent="0.2">
      <c r="A127">
        <v>115</v>
      </c>
      <c r="B127" t="s">
        <v>294</v>
      </c>
      <c r="C127" t="s">
        <v>299</v>
      </c>
      <c r="D127" s="5">
        <v>3400</v>
      </c>
      <c r="E127" t="s">
        <v>82</v>
      </c>
      <c r="F127" t="s">
        <v>206</v>
      </c>
      <c r="G127" t="s">
        <v>79</v>
      </c>
      <c r="H127" t="s">
        <v>84</v>
      </c>
      <c r="I127" t="s">
        <v>79</v>
      </c>
      <c r="J127" t="s">
        <v>79</v>
      </c>
      <c r="K127" t="s">
        <v>79</v>
      </c>
      <c r="L127" t="s">
        <v>79</v>
      </c>
      <c r="M127" t="s">
        <v>79</v>
      </c>
      <c r="N127" t="s">
        <v>223</v>
      </c>
      <c r="O127" t="s">
        <v>13</v>
      </c>
      <c r="P127">
        <v>0.75</v>
      </c>
    </row>
    <row r="128" spans="1:16" x14ac:dyDescent="0.2">
      <c r="A128">
        <v>116</v>
      </c>
      <c r="B128" t="s">
        <v>294</v>
      </c>
      <c r="C128" t="s">
        <v>300</v>
      </c>
      <c r="D128" s="5">
        <v>2500</v>
      </c>
      <c r="E128" t="s">
        <v>78</v>
      </c>
      <c r="F128" s="2" t="s">
        <v>79</v>
      </c>
      <c r="G128" t="s">
        <v>79</v>
      </c>
      <c r="H128" t="s">
        <v>79</v>
      </c>
      <c r="I128" t="s">
        <v>79</v>
      </c>
      <c r="J128" t="s">
        <v>79</v>
      </c>
      <c r="K128" t="s">
        <v>79</v>
      </c>
      <c r="L128" t="s">
        <v>79</v>
      </c>
      <c r="M128" t="s">
        <v>79</v>
      </c>
      <c r="N128" t="s">
        <v>223</v>
      </c>
      <c r="O128" t="s">
        <v>79</v>
      </c>
      <c r="P128" t="s">
        <v>79</v>
      </c>
    </row>
    <row r="129" spans="1:16" x14ac:dyDescent="0.2">
      <c r="A129">
        <v>117</v>
      </c>
      <c r="B129" t="s">
        <v>294</v>
      </c>
      <c r="C129" t="s">
        <v>301</v>
      </c>
      <c r="D129" s="5">
        <v>3400</v>
      </c>
      <c r="E129" t="s">
        <v>78</v>
      </c>
      <c r="F129" s="2" t="s">
        <v>79</v>
      </c>
      <c r="G129" t="s">
        <v>79</v>
      </c>
      <c r="H129" t="s">
        <v>79</v>
      </c>
      <c r="I129" t="s">
        <v>79</v>
      </c>
      <c r="J129" t="s">
        <v>79</v>
      </c>
      <c r="K129" t="s">
        <v>79</v>
      </c>
      <c r="L129" t="s">
        <v>79</v>
      </c>
      <c r="M129" t="s">
        <v>79</v>
      </c>
      <c r="N129" t="s">
        <v>223</v>
      </c>
      <c r="O129" t="s">
        <v>79</v>
      </c>
      <c r="P129" t="s">
        <v>79</v>
      </c>
    </row>
    <row r="130" spans="1:16" x14ac:dyDescent="0.2">
      <c r="A130">
        <v>118</v>
      </c>
      <c r="B130" t="s">
        <v>294</v>
      </c>
      <c r="C130" t="s">
        <v>302</v>
      </c>
      <c r="D130" s="5">
        <v>3400</v>
      </c>
      <c r="E130" t="s">
        <v>78</v>
      </c>
      <c r="F130" s="2" t="s">
        <v>79</v>
      </c>
      <c r="G130" t="s">
        <v>79</v>
      </c>
      <c r="H130" t="s">
        <v>79</v>
      </c>
      <c r="I130" t="s">
        <v>79</v>
      </c>
      <c r="J130" t="s">
        <v>79</v>
      </c>
      <c r="K130" t="s">
        <v>79</v>
      </c>
      <c r="L130" t="s">
        <v>79</v>
      </c>
      <c r="M130" t="s">
        <v>79</v>
      </c>
      <c r="N130" t="s">
        <v>223</v>
      </c>
      <c r="O130" t="s">
        <v>79</v>
      </c>
      <c r="P130" t="s">
        <v>79</v>
      </c>
    </row>
    <row r="131" spans="1:16" x14ac:dyDescent="0.2">
      <c r="A131">
        <v>119</v>
      </c>
      <c r="B131" t="s">
        <v>294</v>
      </c>
      <c r="C131" t="s">
        <v>303</v>
      </c>
      <c r="D131" s="5">
        <v>3400</v>
      </c>
      <c r="E131" t="s">
        <v>304</v>
      </c>
      <c r="F131" s="2" t="s">
        <v>257</v>
      </c>
      <c r="G131" t="s">
        <v>79</v>
      </c>
      <c r="H131" t="s">
        <v>84</v>
      </c>
      <c r="I131" t="s">
        <v>79</v>
      </c>
      <c r="J131" t="s">
        <v>79</v>
      </c>
      <c r="K131" t="s">
        <v>79</v>
      </c>
      <c r="L131" t="s">
        <v>79</v>
      </c>
      <c r="M131" t="s">
        <v>79</v>
      </c>
      <c r="N131" t="s">
        <v>214</v>
      </c>
      <c r="O131" t="s">
        <v>228</v>
      </c>
      <c r="P131">
        <v>0.5</v>
      </c>
    </row>
    <row r="132" spans="1:16" x14ac:dyDescent="0.2">
      <c r="A132">
        <v>120</v>
      </c>
      <c r="B132" t="s">
        <v>294</v>
      </c>
      <c r="C132" t="s">
        <v>305</v>
      </c>
      <c r="D132" s="5">
        <v>3400</v>
      </c>
      <c r="E132" t="s">
        <v>304</v>
      </c>
      <c r="F132" s="2" t="s">
        <v>257</v>
      </c>
      <c r="G132" t="s">
        <v>79</v>
      </c>
      <c r="H132" t="s">
        <v>84</v>
      </c>
      <c r="I132" t="s">
        <v>79</v>
      </c>
      <c r="J132" t="s">
        <v>79</v>
      </c>
      <c r="K132" t="s">
        <v>79</v>
      </c>
      <c r="L132" t="s">
        <v>79</v>
      </c>
      <c r="M132" t="s">
        <v>79</v>
      </c>
      <c r="N132" t="s">
        <v>214</v>
      </c>
      <c r="O132" t="s">
        <v>228</v>
      </c>
      <c r="P132">
        <v>0.5</v>
      </c>
    </row>
    <row r="133" spans="1:16" x14ac:dyDescent="0.2">
      <c r="A133">
        <v>121</v>
      </c>
      <c r="B133" t="s">
        <v>306</v>
      </c>
      <c r="C133" t="s">
        <v>307</v>
      </c>
      <c r="D133" s="5">
        <v>225</v>
      </c>
      <c r="E133" t="s">
        <v>78</v>
      </c>
      <c r="F133" s="2" t="s">
        <v>79</v>
      </c>
      <c r="G133" t="s">
        <v>79</v>
      </c>
      <c r="H133" t="s">
        <v>79</v>
      </c>
      <c r="I133" t="s">
        <v>79</v>
      </c>
      <c r="J133" t="s">
        <v>79</v>
      </c>
      <c r="K133" t="s">
        <v>79</v>
      </c>
      <c r="L133" t="s">
        <v>79</v>
      </c>
      <c r="M133" t="s">
        <v>79</v>
      </c>
      <c r="N133" t="s">
        <v>80</v>
      </c>
      <c r="O133" t="s">
        <v>79</v>
      </c>
      <c r="P133" t="s">
        <v>79</v>
      </c>
    </row>
    <row r="134" spans="1:16" x14ac:dyDescent="0.2">
      <c r="A134">
        <v>122</v>
      </c>
      <c r="B134" t="s">
        <v>306</v>
      </c>
      <c r="C134" t="s">
        <v>308</v>
      </c>
      <c r="D134" s="5">
        <v>225</v>
      </c>
      <c r="E134" t="s">
        <v>78</v>
      </c>
      <c r="F134" s="2" t="s">
        <v>79</v>
      </c>
      <c r="G134" t="s">
        <v>79</v>
      </c>
      <c r="H134" t="s">
        <v>79</v>
      </c>
      <c r="I134" t="s">
        <v>79</v>
      </c>
      <c r="J134" t="s">
        <v>79</v>
      </c>
      <c r="K134" t="s">
        <v>79</v>
      </c>
      <c r="L134" t="s">
        <v>79</v>
      </c>
      <c r="M134" t="s">
        <v>79</v>
      </c>
      <c r="N134" t="s">
        <v>80</v>
      </c>
      <c r="O134" t="s">
        <v>79</v>
      </c>
      <c r="P134" t="s">
        <v>79</v>
      </c>
    </row>
    <row r="135" spans="1:16" x14ac:dyDescent="0.2">
      <c r="A135">
        <v>123</v>
      </c>
      <c r="B135" t="s">
        <v>306</v>
      </c>
      <c r="C135" t="s">
        <v>309</v>
      </c>
      <c r="D135" s="5">
        <v>225</v>
      </c>
      <c r="E135" t="s">
        <v>78</v>
      </c>
      <c r="F135" s="2" t="s">
        <v>79</v>
      </c>
      <c r="G135" t="s">
        <v>79</v>
      </c>
      <c r="H135" t="s">
        <v>79</v>
      </c>
      <c r="I135" t="s">
        <v>79</v>
      </c>
      <c r="J135" t="s">
        <v>79</v>
      </c>
      <c r="K135" t="s">
        <v>79</v>
      </c>
      <c r="L135" t="s">
        <v>79</v>
      </c>
      <c r="M135" t="s">
        <v>79</v>
      </c>
      <c r="N135" t="s">
        <v>80</v>
      </c>
      <c r="O135" t="s">
        <v>79</v>
      </c>
      <c r="P135" t="s">
        <v>79</v>
      </c>
    </row>
    <row r="136" spans="1:16" x14ac:dyDescent="0.2">
      <c r="A136">
        <v>124</v>
      </c>
      <c r="B136" t="s">
        <v>306</v>
      </c>
      <c r="C136" t="s">
        <v>310</v>
      </c>
      <c r="D136" s="5">
        <v>225</v>
      </c>
      <c r="E136" t="s">
        <v>78</v>
      </c>
      <c r="F136" s="2" t="s">
        <v>79</v>
      </c>
      <c r="G136" t="s">
        <v>79</v>
      </c>
      <c r="H136" t="s">
        <v>79</v>
      </c>
      <c r="I136" t="s">
        <v>79</v>
      </c>
      <c r="J136" t="s">
        <v>79</v>
      </c>
      <c r="K136" t="s">
        <v>79</v>
      </c>
      <c r="L136" t="s">
        <v>79</v>
      </c>
      <c r="M136" t="s">
        <v>79</v>
      </c>
      <c r="N136" t="s">
        <v>80</v>
      </c>
      <c r="O136" t="s">
        <v>79</v>
      </c>
      <c r="P136" t="s">
        <v>79</v>
      </c>
    </row>
    <row r="137" spans="1:16" x14ac:dyDescent="0.2">
      <c r="A137">
        <v>125</v>
      </c>
      <c r="B137" t="s">
        <v>306</v>
      </c>
      <c r="C137" t="s">
        <v>311</v>
      </c>
      <c r="D137" s="5">
        <v>225</v>
      </c>
      <c r="E137" t="s">
        <v>78</v>
      </c>
      <c r="F137" s="2" t="s">
        <v>79</v>
      </c>
      <c r="G137" t="s">
        <v>79</v>
      </c>
      <c r="H137" t="s">
        <v>79</v>
      </c>
      <c r="I137" t="s">
        <v>79</v>
      </c>
      <c r="J137" t="s">
        <v>79</v>
      </c>
      <c r="K137" t="s">
        <v>79</v>
      </c>
      <c r="L137" t="s">
        <v>79</v>
      </c>
      <c r="M137" t="s">
        <v>79</v>
      </c>
      <c r="N137" t="s">
        <v>80</v>
      </c>
      <c r="O137" t="s">
        <v>79</v>
      </c>
      <c r="P137" t="s">
        <v>79</v>
      </c>
    </row>
    <row r="138" spans="1:16" x14ac:dyDescent="0.2">
      <c r="A138">
        <v>126</v>
      </c>
      <c r="B138" t="s">
        <v>306</v>
      </c>
      <c r="C138" t="s">
        <v>312</v>
      </c>
      <c r="D138" s="5">
        <v>225</v>
      </c>
      <c r="E138" t="s">
        <v>78</v>
      </c>
      <c r="F138" s="2" t="s">
        <v>79</v>
      </c>
      <c r="G138" t="s">
        <v>79</v>
      </c>
      <c r="H138" t="s">
        <v>79</v>
      </c>
      <c r="I138" t="s">
        <v>79</v>
      </c>
      <c r="J138" t="s">
        <v>79</v>
      </c>
      <c r="K138" t="s">
        <v>79</v>
      </c>
      <c r="L138" t="s">
        <v>79</v>
      </c>
      <c r="M138" t="s">
        <v>79</v>
      </c>
      <c r="N138" t="s">
        <v>80</v>
      </c>
      <c r="O138" t="s">
        <v>79</v>
      </c>
      <c r="P138" t="s">
        <v>79</v>
      </c>
    </row>
    <row r="139" spans="1:16" x14ac:dyDescent="0.2">
      <c r="A139">
        <v>127</v>
      </c>
      <c r="B139" t="s">
        <v>306</v>
      </c>
      <c r="C139" t="s">
        <v>313</v>
      </c>
      <c r="D139" s="5">
        <v>225</v>
      </c>
      <c r="E139" t="s">
        <v>78</v>
      </c>
      <c r="F139" s="2" t="s">
        <v>79</v>
      </c>
      <c r="G139" t="s">
        <v>79</v>
      </c>
      <c r="H139" t="s">
        <v>79</v>
      </c>
      <c r="I139" t="s">
        <v>79</v>
      </c>
      <c r="J139" t="s">
        <v>79</v>
      </c>
      <c r="K139" t="s">
        <v>79</v>
      </c>
      <c r="L139" t="s">
        <v>79</v>
      </c>
      <c r="M139" t="s">
        <v>79</v>
      </c>
      <c r="N139" t="s">
        <v>80</v>
      </c>
      <c r="O139" t="s">
        <v>79</v>
      </c>
      <c r="P139" t="s">
        <v>79</v>
      </c>
    </row>
    <row r="140" spans="1:16" x14ac:dyDescent="0.2">
      <c r="A140">
        <v>128</v>
      </c>
      <c r="B140" t="s">
        <v>306</v>
      </c>
      <c r="C140" t="s">
        <v>314</v>
      </c>
      <c r="D140" s="5">
        <v>225</v>
      </c>
      <c r="E140" t="s">
        <v>78</v>
      </c>
      <c r="F140" s="2" t="s">
        <v>79</v>
      </c>
      <c r="G140" t="s">
        <v>79</v>
      </c>
      <c r="H140" t="s">
        <v>79</v>
      </c>
      <c r="I140" t="s">
        <v>79</v>
      </c>
      <c r="J140" t="s">
        <v>79</v>
      </c>
      <c r="K140" t="s">
        <v>79</v>
      </c>
      <c r="L140" t="s">
        <v>79</v>
      </c>
      <c r="M140" t="s">
        <v>79</v>
      </c>
      <c r="N140" t="s">
        <v>80</v>
      </c>
      <c r="O140" t="s">
        <v>79</v>
      </c>
      <c r="P140" t="s">
        <v>79</v>
      </c>
    </row>
    <row r="141" spans="1:16" x14ac:dyDescent="0.2">
      <c r="A141">
        <v>129</v>
      </c>
      <c r="B141" t="s">
        <v>306</v>
      </c>
      <c r="C141" t="s">
        <v>315</v>
      </c>
      <c r="D141" s="5">
        <v>225</v>
      </c>
      <c r="E141" t="s">
        <v>78</v>
      </c>
      <c r="F141" s="2" t="s">
        <v>79</v>
      </c>
      <c r="G141" t="s">
        <v>79</v>
      </c>
      <c r="H141" t="s">
        <v>79</v>
      </c>
      <c r="I141" t="s">
        <v>79</v>
      </c>
      <c r="J141" t="s">
        <v>79</v>
      </c>
      <c r="K141" t="s">
        <v>79</v>
      </c>
      <c r="L141" t="s">
        <v>79</v>
      </c>
      <c r="M141" t="s">
        <v>79</v>
      </c>
      <c r="N141" t="s">
        <v>80</v>
      </c>
      <c r="O141" t="s">
        <v>79</v>
      </c>
      <c r="P141" t="s">
        <v>79</v>
      </c>
    </row>
    <row r="142" spans="1:16" x14ac:dyDescent="0.2">
      <c r="A142">
        <v>130</v>
      </c>
      <c r="B142" t="s">
        <v>306</v>
      </c>
      <c r="C142" t="s">
        <v>316</v>
      </c>
      <c r="D142" s="5">
        <v>225</v>
      </c>
      <c r="E142" t="s">
        <v>78</v>
      </c>
      <c r="F142" s="2" t="s">
        <v>79</v>
      </c>
      <c r="G142" t="s">
        <v>79</v>
      </c>
      <c r="H142" t="s">
        <v>79</v>
      </c>
      <c r="I142" t="s">
        <v>79</v>
      </c>
      <c r="J142" t="s">
        <v>79</v>
      </c>
      <c r="K142" t="s">
        <v>79</v>
      </c>
      <c r="L142" t="s">
        <v>79</v>
      </c>
      <c r="M142" t="s">
        <v>79</v>
      </c>
      <c r="N142" t="s">
        <v>80</v>
      </c>
      <c r="O142" t="s">
        <v>79</v>
      </c>
      <c r="P142" t="s">
        <v>79</v>
      </c>
    </row>
    <row r="143" spans="1:16" x14ac:dyDescent="0.2">
      <c r="A143">
        <v>131</v>
      </c>
      <c r="B143" t="s">
        <v>306</v>
      </c>
      <c r="C143" t="s">
        <v>317</v>
      </c>
      <c r="D143" s="5">
        <v>225</v>
      </c>
      <c r="E143" t="s">
        <v>318</v>
      </c>
      <c r="F143" s="2" t="s">
        <v>319</v>
      </c>
      <c r="G143" t="s">
        <v>79</v>
      </c>
      <c r="H143" t="s">
        <v>84</v>
      </c>
      <c r="I143" t="s">
        <v>79</v>
      </c>
      <c r="J143" t="s">
        <v>79</v>
      </c>
      <c r="K143" t="s">
        <v>79</v>
      </c>
      <c r="L143" t="s">
        <v>79</v>
      </c>
      <c r="M143" t="s">
        <v>79</v>
      </c>
      <c r="N143" t="s">
        <v>92</v>
      </c>
      <c r="O143" t="s">
        <v>320</v>
      </c>
      <c r="P143">
        <v>0.75</v>
      </c>
    </row>
    <row r="144" spans="1:16" x14ac:dyDescent="0.2">
      <c r="A144">
        <v>132</v>
      </c>
      <c r="B144" t="s">
        <v>306</v>
      </c>
      <c r="C144" t="s">
        <v>321</v>
      </c>
      <c r="D144" s="5">
        <v>225</v>
      </c>
      <c r="E144" t="s">
        <v>82</v>
      </c>
      <c r="F144" s="2" t="s">
        <v>322</v>
      </c>
      <c r="G144" t="s">
        <v>79</v>
      </c>
      <c r="H144" t="s">
        <v>84</v>
      </c>
      <c r="I144" t="s">
        <v>79</v>
      </c>
      <c r="J144" t="s">
        <v>79</v>
      </c>
      <c r="K144" t="s">
        <v>79</v>
      </c>
      <c r="L144" t="s">
        <v>79</v>
      </c>
      <c r="M144" t="s">
        <v>79</v>
      </c>
      <c r="N144" t="s">
        <v>92</v>
      </c>
      <c r="O144" t="s">
        <v>320</v>
      </c>
      <c r="P144">
        <v>0.75</v>
      </c>
    </row>
    <row r="145" spans="1:17" x14ac:dyDescent="0.2">
      <c r="A145">
        <v>133</v>
      </c>
      <c r="B145" t="s">
        <v>306</v>
      </c>
      <c r="C145" t="s">
        <v>323</v>
      </c>
      <c r="D145" s="5">
        <v>225</v>
      </c>
      <c r="E145" t="s">
        <v>82</v>
      </c>
      <c r="F145" s="2" t="s">
        <v>322</v>
      </c>
      <c r="G145" t="s">
        <v>79</v>
      </c>
      <c r="H145" t="s">
        <v>84</v>
      </c>
      <c r="I145" t="s">
        <v>79</v>
      </c>
      <c r="J145" t="s">
        <v>79</v>
      </c>
      <c r="K145" t="s">
        <v>79</v>
      </c>
      <c r="L145" t="s">
        <v>79</v>
      </c>
      <c r="M145" t="s">
        <v>79</v>
      </c>
      <c r="N145" t="s">
        <v>92</v>
      </c>
      <c r="O145" t="s">
        <v>320</v>
      </c>
      <c r="P145">
        <v>0.75</v>
      </c>
    </row>
    <row r="146" spans="1:17" x14ac:dyDescent="0.2">
      <c r="A146">
        <v>134</v>
      </c>
      <c r="B146" t="s">
        <v>306</v>
      </c>
      <c r="C146" t="s">
        <v>324</v>
      </c>
      <c r="D146" s="5">
        <v>225</v>
      </c>
      <c r="E146" t="s">
        <v>82</v>
      </c>
      <c r="F146" s="2" t="s">
        <v>322</v>
      </c>
      <c r="G146" t="s">
        <v>79</v>
      </c>
      <c r="H146" t="s">
        <v>84</v>
      </c>
      <c r="I146" t="s">
        <v>79</v>
      </c>
      <c r="J146" t="s">
        <v>79</v>
      </c>
      <c r="K146" t="s">
        <v>79</v>
      </c>
      <c r="L146" t="s">
        <v>79</v>
      </c>
      <c r="M146" t="s">
        <v>79</v>
      </c>
      <c r="N146" t="s">
        <v>92</v>
      </c>
      <c r="O146" t="s">
        <v>320</v>
      </c>
      <c r="P146">
        <v>0.75</v>
      </c>
    </row>
    <row r="147" spans="1:17" x14ac:dyDescent="0.2">
      <c r="A147">
        <v>135</v>
      </c>
      <c r="B147" t="s">
        <v>306</v>
      </c>
      <c r="C147" t="s">
        <v>325</v>
      </c>
      <c r="D147" s="5">
        <v>225</v>
      </c>
      <c r="E147" t="s">
        <v>318</v>
      </c>
      <c r="F147" s="2" t="s">
        <v>326</v>
      </c>
      <c r="G147" t="s">
        <v>79</v>
      </c>
      <c r="H147" t="s">
        <v>84</v>
      </c>
      <c r="I147" t="s">
        <v>79</v>
      </c>
      <c r="J147" t="s">
        <v>79</v>
      </c>
      <c r="K147" t="s">
        <v>79</v>
      </c>
      <c r="L147" t="s">
        <v>79</v>
      </c>
      <c r="M147" t="s">
        <v>79</v>
      </c>
      <c r="N147" t="s">
        <v>92</v>
      </c>
      <c r="O147" t="s">
        <v>320</v>
      </c>
      <c r="P147">
        <v>0.75</v>
      </c>
    </row>
    <row r="148" spans="1:17" x14ac:dyDescent="0.2">
      <c r="A148">
        <v>136</v>
      </c>
      <c r="B148" t="s">
        <v>306</v>
      </c>
      <c r="C148" t="s">
        <v>327</v>
      </c>
      <c r="D148" s="5">
        <v>2900</v>
      </c>
      <c r="E148" t="s">
        <v>226</v>
      </c>
      <c r="F148" s="3" t="s">
        <v>328</v>
      </c>
      <c r="G148" t="s">
        <v>79</v>
      </c>
      <c r="H148" t="s">
        <v>84</v>
      </c>
      <c r="I148" t="s">
        <v>79</v>
      </c>
      <c r="J148" t="s">
        <v>79</v>
      </c>
      <c r="K148" t="s">
        <v>79</v>
      </c>
      <c r="L148" t="s">
        <v>79</v>
      </c>
      <c r="M148" t="s">
        <v>79</v>
      </c>
      <c r="N148" t="s">
        <v>214</v>
      </c>
      <c r="O148" t="s">
        <v>329</v>
      </c>
      <c r="P148" s="4">
        <v>0.14000000000000001</v>
      </c>
    </row>
    <row r="149" spans="1:17" x14ac:dyDescent="0.2">
      <c r="A149">
        <v>137</v>
      </c>
      <c r="B149" t="s">
        <v>306</v>
      </c>
      <c r="C149" t="s">
        <v>330</v>
      </c>
      <c r="D149" s="5">
        <v>1500</v>
      </c>
      <c r="E149" t="s">
        <v>226</v>
      </c>
      <c r="F149" s="3" t="s">
        <v>331</v>
      </c>
      <c r="G149" t="s">
        <v>79</v>
      </c>
      <c r="H149" t="s">
        <v>84</v>
      </c>
      <c r="I149" t="s">
        <v>79</v>
      </c>
      <c r="J149" t="s">
        <v>79</v>
      </c>
      <c r="K149" t="s">
        <v>79</v>
      </c>
      <c r="L149" t="s">
        <v>79</v>
      </c>
      <c r="M149" t="s">
        <v>79</v>
      </c>
      <c r="N149" t="s">
        <v>214</v>
      </c>
      <c r="O149" t="s">
        <v>13</v>
      </c>
      <c r="P149" s="4">
        <v>0.75</v>
      </c>
    </row>
    <row r="150" spans="1:17" x14ac:dyDescent="0.2">
      <c r="A150">
        <v>138</v>
      </c>
      <c r="B150" t="s">
        <v>306</v>
      </c>
      <c r="C150" t="s">
        <v>332</v>
      </c>
      <c r="D150" s="5">
        <v>3600</v>
      </c>
      <c r="E150" t="s">
        <v>88</v>
      </c>
      <c r="F150" s="2" t="s">
        <v>333</v>
      </c>
      <c r="G150" t="s">
        <v>118</v>
      </c>
      <c r="H150" t="s">
        <v>84</v>
      </c>
      <c r="I150" t="s">
        <v>79</v>
      </c>
      <c r="J150" t="s">
        <v>79</v>
      </c>
      <c r="K150" t="s">
        <v>79</v>
      </c>
      <c r="L150" t="s">
        <v>79</v>
      </c>
      <c r="M150" t="s">
        <v>79</v>
      </c>
      <c r="N150" t="s">
        <v>214</v>
      </c>
      <c r="O150" t="s">
        <v>13</v>
      </c>
      <c r="P150">
        <v>0.75</v>
      </c>
    </row>
    <row r="151" spans="1:17" x14ac:dyDescent="0.2">
      <c r="A151">
        <v>139</v>
      </c>
      <c r="B151" t="s">
        <v>306</v>
      </c>
      <c r="C151" t="s">
        <v>334</v>
      </c>
      <c r="D151" s="5">
        <v>3400</v>
      </c>
      <c r="E151" t="s">
        <v>82</v>
      </c>
      <c r="F151" s="2" t="s">
        <v>134</v>
      </c>
      <c r="G151" t="s">
        <v>118</v>
      </c>
      <c r="H151" t="s">
        <v>84</v>
      </c>
      <c r="I151" t="s">
        <v>79</v>
      </c>
      <c r="J151" t="s">
        <v>79</v>
      </c>
      <c r="K151" t="s">
        <v>79</v>
      </c>
      <c r="L151" t="s">
        <v>79</v>
      </c>
      <c r="M151" t="s">
        <v>79</v>
      </c>
      <c r="N151" t="s">
        <v>214</v>
      </c>
      <c r="O151" t="s">
        <v>13</v>
      </c>
      <c r="P151">
        <v>0.75</v>
      </c>
    </row>
    <row r="152" spans="1:17" x14ac:dyDescent="0.2">
      <c r="A152">
        <v>140</v>
      </c>
      <c r="B152" t="s">
        <v>271</v>
      </c>
      <c r="C152" t="s">
        <v>271</v>
      </c>
      <c r="D152" s="5">
        <v>10000</v>
      </c>
      <c r="E152" t="s">
        <v>304</v>
      </c>
      <c r="F152" t="s">
        <v>271</v>
      </c>
      <c r="G152" t="s">
        <v>79</v>
      </c>
      <c r="H152" t="s">
        <v>84</v>
      </c>
      <c r="I152" t="s">
        <v>79</v>
      </c>
      <c r="J152" t="s">
        <v>79</v>
      </c>
      <c r="K152" t="s">
        <v>79</v>
      </c>
      <c r="L152" t="s">
        <v>79</v>
      </c>
      <c r="M152" t="s">
        <v>79</v>
      </c>
      <c r="N152" t="s">
        <v>223</v>
      </c>
      <c r="O152" t="s">
        <v>13</v>
      </c>
      <c r="P152">
        <v>0.75</v>
      </c>
    </row>
    <row r="153" spans="1:17" x14ac:dyDescent="0.2">
      <c r="A153">
        <v>141</v>
      </c>
      <c r="B153" t="s">
        <v>335</v>
      </c>
      <c r="C153" t="s">
        <v>336</v>
      </c>
      <c r="D153" s="5">
        <v>52000</v>
      </c>
      <c r="E153" t="s">
        <v>222</v>
      </c>
      <c r="F153" t="s">
        <v>79</v>
      </c>
      <c r="G153" t="s">
        <v>79</v>
      </c>
      <c r="H153" t="s">
        <v>84</v>
      </c>
      <c r="I153" t="s">
        <v>79</v>
      </c>
      <c r="J153" t="s">
        <v>79</v>
      </c>
      <c r="K153" t="s">
        <v>79</v>
      </c>
      <c r="L153" t="s">
        <v>79</v>
      </c>
      <c r="M153" t="s">
        <v>79</v>
      </c>
      <c r="N153" t="s">
        <v>223</v>
      </c>
      <c r="O153" t="s">
        <v>228</v>
      </c>
      <c r="P153">
        <v>0.5</v>
      </c>
    </row>
    <row r="154" spans="1:17" x14ac:dyDescent="0.2">
      <c r="A154">
        <v>142</v>
      </c>
      <c r="B154" t="s">
        <v>337</v>
      </c>
      <c r="C154" t="s">
        <v>338</v>
      </c>
      <c r="D154" s="5">
        <v>20500</v>
      </c>
      <c r="E154" t="s">
        <v>222</v>
      </c>
      <c r="F154" t="s">
        <v>79</v>
      </c>
      <c r="G154" t="s">
        <v>79</v>
      </c>
      <c r="H154" t="s">
        <v>84</v>
      </c>
      <c r="I154" t="s">
        <v>79</v>
      </c>
      <c r="J154" t="s">
        <v>79</v>
      </c>
      <c r="K154" t="s">
        <v>79</v>
      </c>
      <c r="L154" t="s">
        <v>79</v>
      </c>
      <c r="M154" t="s">
        <v>79</v>
      </c>
      <c r="N154" t="s">
        <v>223</v>
      </c>
      <c r="O154" t="s">
        <v>224</v>
      </c>
      <c r="P154">
        <v>3</v>
      </c>
    </row>
    <row r="155" spans="1:17" x14ac:dyDescent="0.2">
      <c r="A155">
        <v>143</v>
      </c>
      <c r="B155" t="s">
        <v>337</v>
      </c>
      <c r="C155" t="s">
        <v>339</v>
      </c>
      <c r="D155" s="5">
        <v>13400</v>
      </c>
      <c r="E155" t="s">
        <v>82</v>
      </c>
      <c r="F155" t="s">
        <v>83</v>
      </c>
      <c r="G155" t="s">
        <v>79</v>
      </c>
      <c r="H155" t="s">
        <v>84</v>
      </c>
      <c r="I155" t="s">
        <v>79</v>
      </c>
      <c r="J155" t="s">
        <v>79</v>
      </c>
      <c r="K155" t="s">
        <v>79</v>
      </c>
      <c r="L155" t="s">
        <v>79</v>
      </c>
      <c r="M155" t="s">
        <v>79</v>
      </c>
      <c r="N155" t="s">
        <v>223</v>
      </c>
      <c r="O155" t="s">
        <v>228</v>
      </c>
      <c r="P155">
        <v>0.5</v>
      </c>
    </row>
    <row r="156" spans="1:17" x14ac:dyDescent="0.2">
      <c r="A156">
        <v>144</v>
      </c>
      <c r="B156" t="s">
        <v>337</v>
      </c>
      <c r="C156" t="s">
        <v>340</v>
      </c>
      <c r="D156" s="5">
        <v>22150</v>
      </c>
      <c r="E156" t="s">
        <v>222</v>
      </c>
      <c r="F156" t="s">
        <v>79</v>
      </c>
      <c r="G156" t="s">
        <v>79</v>
      </c>
      <c r="H156" t="s">
        <v>84</v>
      </c>
      <c r="I156" t="s">
        <v>79</v>
      </c>
      <c r="J156" t="s">
        <v>79</v>
      </c>
      <c r="K156" t="s">
        <v>79</v>
      </c>
      <c r="L156" t="s">
        <v>79</v>
      </c>
      <c r="M156" t="s">
        <v>79</v>
      </c>
      <c r="N156" t="s">
        <v>223</v>
      </c>
      <c r="O156" t="s">
        <v>224</v>
      </c>
      <c r="P156">
        <v>3</v>
      </c>
    </row>
    <row r="157" spans="1:17" x14ac:dyDescent="0.2">
      <c r="B157" t="s">
        <v>337</v>
      </c>
      <c r="C157" t="s">
        <v>341</v>
      </c>
      <c r="D157" s="5">
        <v>11000</v>
      </c>
      <c r="E157" t="s">
        <v>222</v>
      </c>
      <c r="F157" t="s">
        <v>79</v>
      </c>
      <c r="G157" t="s">
        <v>79</v>
      </c>
      <c r="H157" t="s">
        <v>84</v>
      </c>
      <c r="I157" t="s">
        <v>79</v>
      </c>
      <c r="J157" t="s">
        <v>79</v>
      </c>
      <c r="K157" t="s">
        <v>79</v>
      </c>
      <c r="L157" t="s">
        <v>79</v>
      </c>
      <c r="M157" t="s">
        <v>79</v>
      </c>
      <c r="N157" t="s">
        <v>223</v>
      </c>
      <c r="O157" t="s">
        <v>224</v>
      </c>
      <c r="P157">
        <v>1</v>
      </c>
    </row>
    <row r="158" spans="1:17" x14ac:dyDescent="0.2">
      <c r="A158">
        <v>145</v>
      </c>
      <c r="B158" t="s">
        <v>337</v>
      </c>
      <c r="C158" t="s">
        <v>342</v>
      </c>
      <c r="D158" s="5">
        <v>13700</v>
      </c>
      <c r="E158" t="s">
        <v>222</v>
      </c>
      <c r="F158" t="s">
        <v>79</v>
      </c>
      <c r="G158" t="s">
        <v>79</v>
      </c>
      <c r="H158" t="s">
        <v>84</v>
      </c>
      <c r="I158" t="s">
        <v>79</v>
      </c>
      <c r="J158" t="s">
        <v>79</v>
      </c>
      <c r="K158" t="s">
        <v>79</v>
      </c>
      <c r="L158" t="s">
        <v>79</v>
      </c>
      <c r="M158" t="s">
        <v>79</v>
      </c>
      <c r="N158" t="s">
        <v>223</v>
      </c>
      <c r="O158" t="s">
        <v>224</v>
      </c>
      <c r="P158">
        <v>3</v>
      </c>
    </row>
    <row r="159" spans="1:17" x14ac:dyDescent="0.2">
      <c r="A159">
        <v>146</v>
      </c>
      <c r="B159" t="s">
        <v>343</v>
      </c>
      <c r="C159" t="s">
        <v>344</v>
      </c>
      <c r="D159" s="5">
        <v>30000</v>
      </c>
      <c r="E159" t="s">
        <v>345</v>
      </c>
      <c r="F159" t="s">
        <v>79</v>
      </c>
      <c r="G159" t="s">
        <v>79</v>
      </c>
      <c r="H159" t="s">
        <v>95</v>
      </c>
      <c r="I159" t="s">
        <v>89</v>
      </c>
      <c r="J159" t="s">
        <v>89</v>
      </c>
      <c r="K159" t="s">
        <v>89</v>
      </c>
      <c r="L159" t="s">
        <v>346</v>
      </c>
      <c r="M159" t="s">
        <v>89</v>
      </c>
      <c r="N159" t="s">
        <v>79</v>
      </c>
      <c r="O159" t="s">
        <v>79</v>
      </c>
      <c r="P159" t="s">
        <v>79</v>
      </c>
      <c r="Q159">
        <v>0</v>
      </c>
    </row>
    <row r="160" spans="1:17" x14ac:dyDescent="0.2">
      <c r="A160">
        <v>147</v>
      </c>
      <c r="B160" t="s">
        <v>347</v>
      </c>
      <c r="C160" t="s">
        <v>347</v>
      </c>
      <c r="D160" s="5">
        <v>436300</v>
      </c>
      <c r="E160" t="s">
        <v>348</v>
      </c>
      <c r="F160" t="s">
        <v>79</v>
      </c>
      <c r="G160" t="s">
        <v>79</v>
      </c>
      <c r="H160" t="s">
        <v>84</v>
      </c>
      <c r="I160" t="s">
        <v>79</v>
      </c>
      <c r="J160" t="s">
        <v>79</v>
      </c>
      <c r="K160" t="s">
        <v>79</v>
      </c>
      <c r="L160" t="s">
        <v>79</v>
      </c>
      <c r="M160" t="s">
        <v>79</v>
      </c>
      <c r="N160" t="s">
        <v>223</v>
      </c>
      <c r="O160" t="s">
        <v>224</v>
      </c>
      <c r="P160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workbookViewId="0">
      <selection activeCell="D2" sqref="D2"/>
    </sheetView>
  </sheetViews>
  <sheetFormatPr baseColWidth="10" defaultRowHeight="16" x14ac:dyDescent="0.2"/>
  <cols>
    <col min="1" max="1" width="12.83203125" bestFit="1" customWidth="1"/>
    <col min="2" max="2" width="18" bestFit="1" customWidth="1"/>
    <col min="3" max="3" width="60.83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</row>
    <row r="3" spans="1:4" x14ac:dyDescent="0.2">
      <c r="A3" t="s">
        <v>4</v>
      </c>
      <c r="B3" t="s">
        <v>7</v>
      </c>
      <c r="C3" t="s">
        <v>6</v>
      </c>
    </row>
    <row r="4" spans="1:4" x14ac:dyDescent="0.2">
      <c r="A4" t="s">
        <v>4</v>
      </c>
      <c r="B4" t="s">
        <v>8</v>
      </c>
      <c r="C4" t="s">
        <v>6</v>
      </c>
    </row>
    <row r="5" spans="1:4" x14ac:dyDescent="0.2">
      <c r="A5" t="s">
        <v>4</v>
      </c>
      <c r="B5" t="s">
        <v>9</v>
      </c>
      <c r="C5" t="s">
        <v>10</v>
      </c>
    </row>
    <row r="6" spans="1:4" x14ac:dyDescent="0.2">
      <c r="A6" t="s">
        <v>4</v>
      </c>
      <c r="B6" t="s">
        <v>11</v>
      </c>
      <c r="C6" t="s">
        <v>12</v>
      </c>
    </row>
    <row r="7" spans="1:4" x14ac:dyDescent="0.2">
      <c r="A7" t="s">
        <v>4</v>
      </c>
      <c r="B7">
        <v>2653</v>
      </c>
      <c r="C7" t="s">
        <v>13</v>
      </c>
    </row>
    <row r="8" spans="1:4" x14ac:dyDescent="0.2">
      <c r="A8" t="s">
        <v>4</v>
      </c>
      <c r="B8" t="s">
        <v>14</v>
      </c>
      <c r="C8" t="s">
        <v>15</v>
      </c>
    </row>
    <row r="9" spans="1:4" x14ac:dyDescent="0.2">
      <c r="A9" t="s">
        <v>4</v>
      </c>
      <c r="B9" t="s">
        <v>16</v>
      </c>
      <c r="C9" t="s">
        <v>17</v>
      </c>
    </row>
    <row r="10" spans="1:4" x14ac:dyDescent="0.2">
      <c r="A10" t="s">
        <v>18</v>
      </c>
      <c r="B10" t="s">
        <v>19</v>
      </c>
      <c r="C10" t="s">
        <v>20</v>
      </c>
    </row>
    <row r="11" spans="1:4" x14ac:dyDescent="0.2">
      <c r="A11" t="s">
        <v>21</v>
      </c>
      <c r="B11" t="s">
        <v>22</v>
      </c>
      <c r="C11" t="s">
        <v>23</v>
      </c>
    </row>
    <row r="12" spans="1:4" x14ac:dyDescent="0.2">
      <c r="A12" t="s">
        <v>21</v>
      </c>
      <c r="B12" t="s">
        <v>24</v>
      </c>
      <c r="C12" t="s">
        <v>25</v>
      </c>
    </row>
    <row r="13" spans="1:4" x14ac:dyDescent="0.2">
      <c r="A13" t="s">
        <v>21</v>
      </c>
      <c r="B13" t="s">
        <v>26</v>
      </c>
      <c r="C13" t="s">
        <v>23</v>
      </c>
    </row>
    <row r="14" spans="1:4" x14ac:dyDescent="0.2">
      <c r="A14" t="s">
        <v>21</v>
      </c>
      <c r="B14" t="s">
        <v>26</v>
      </c>
      <c r="C14" t="s">
        <v>27</v>
      </c>
    </row>
    <row r="15" spans="1:4" x14ac:dyDescent="0.2">
      <c r="A15" t="s">
        <v>28</v>
      </c>
      <c r="B15" t="s">
        <v>29</v>
      </c>
      <c r="C15" t="s">
        <v>30</v>
      </c>
    </row>
    <row r="16" spans="1:4" x14ac:dyDescent="0.2">
      <c r="A16" t="s">
        <v>31</v>
      </c>
      <c r="B16" t="s">
        <v>32</v>
      </c>
      <c r="C16" t="s">
        <v>33</v>
      </c>
    </row>
    <row r="17" spans="1:3" x14ac:dyDescent="0.2">
      <c r="A17" t="s">
        <v>34</v>
      </c>
      <c r="B17" t="s">
        <v>35</v>
      </c>
      <c r="C17" t="s">
        <v>36</v>
      </c>
    </row>
    <row r="18" spans="1:3" x14ac:dyDescent="0.2">
      <c r="A18" t="s">
        <v>37</v>
      </c>
      <c r="B18" t="s">
        <v>38</v>
      </c>
      <c r="C18" t="s">
        <v>39</v>
      </c>
    </row>
    <row r="19" spans="1:3" x14ac:dyDescent="0.2">
      <c r="A19" t="s">
        <v>37</v>
      </c>
      <c r="B19" t="s">
        <v>40</v>
      </c>
      <c r="C19" t="s">
        <v>41</v>
      </c>
    </row>
    <row r="20" spans="1:3" x14ac:dyDescent="0.2">
      <c r="A20" t="s">
        <v>42</v>
      </c>
      <c r="B20" t="s">
        <v>43</v>
      </c>
    </row>
    <row r="21" spans="1:3" x14ac:dyDescent="0.2">
      <c r="A21" t="s">
        <v>42</v>
      </c>
      <c r="B21" t="s">
        <v>44</v>
      </c>
    </row>
    <row r="22" spans="1:3" x14ac:dyDescent="0.2">
      <c r="A22" t="s">
        <v>45</v>
      </c>
      <c r="B22" t="s">
        <v>46</v>
      </c>
      <c r="C22" t="s">
        <v>47</v>
      </c>
    </row>
    <row r="23" spans="1:3" x14ac:dyDescent="0.2">
      <c r="A23" t="s">
        <v>45</v>
      </c>
      <c r="B23" t="s">
        <v>48</v>
      </c>
      <c r="C23" t="s">
        <v>49</v>
      </c>
    </row>
    <row r="24" spans="1:3" x14ac:dyDescent="0.2">
      <c r="A24" t="s">
        <v>45</v>
      </c>
      <c r="B24" t="s">
        <v>50</v>
      </c>
    </row>
    <row r="25" spans="1:3" x14ac:dyDescent="0.2">
      <c r="A25" t="s">
        <v>45</v>
      </c>
      <c r="B25" t="s">
        <v>51</v>
      </c>
    </row>
    <row r="26" spans="1:3" x14ac:dyDescent="0.2">
      <c r="A26" t="s">
        <v>37</v>
      </c>
      <c r="B26" t="s">
        <v>52</v>
      </c>
      <c r="C26" t="s">
        <v>53</v>
      </c>
    </row>
    <row r="27" spans="1:3" x14ac:dyDescent="0.2">
      <c r="A27" t="s">
        <v>37</v>
      </c>
      <c r="B27" t="s">
        <v>54</v>
      </c>
      <c r="C27" t="s">
        <v>55</v>
      </c>
    </row>
    <row r="28" spans="1:3" x14ac:dyDescent="0.2">
      <c r="A28" t="s">
        <v>4</v>
      </c>
      <c r="B28" t="s">
        <v>56</v>
      </c>
      <c r="C28" t="s">
        <v>57</v>
      </c>
    </row>
    <row r="29" spans="1:3" x14ac:dyDescent="0.2">
      <c r="A29" t="s">
        <v>42</v>
      </c>
      <c r="B29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8"/>
  <sheetViews>
    <sheetView topLeftCell="A21" workbookViewId="0">
      <selection activeCell="B58" sqref="B58"/>
    </sheetView>
  </sheetViews>
  <sheetFormatPr baseColWidth="10" defaultRowHeight="16" x14ac:dyDescent="0.2"/>
  <cols>
    <col min="2" max="2" width="22.1640625" bestFit="1" customWidth="1"/>
    <col min="4" max="4" width="27.6640625" bestFit="1" customWidth="1"/>
    <col min="5" max="5" width="14.5" customWidth="1"/>
    <col min="6" max="6" width="29.33203125" bestFit="1" customWidth="1"/>
    <col min="10" max="10" width="18.6640625" bestFit="1" customWidth="1"/>
    <col min="11" max="11" width="14.83203125" bestFit="1" customWidth="1"/>
    <col min="12" max="12" width="11.5" bestFit="1" customWidth="1"/>
  </cols>
  <sheetData>
    <row r="1" spans="1:11" x14ac:dyDescent="0.2">
      <c r="A1" t="s">
        <v>349</v>
      </c>
      <c r="B1" t="s">
        <v>350</v>
      </c>
      <c r="C1" t="s">
        <v>351</v>
      </c>
      <c r="D1" t="s">
        <v>352</v>
      </c>
      <c r="E1" t="s">
        <v>353</v>
      </c>
      <c r="F1" t="s">
        <v>66</v>
      </c>
      <c r="G1" t="s">
        <v>354</v>
      </c>
      <c r="H1" t="s">
        <v>355</v>
      </c>
      <c r="I1" t="s">
        <v>356</v>
      </c>
      <c r="J1" t="s">
        <v>357</v>
      </c>
      <c r="K1" t="s">
        <v>74</v>
      </c>
    </row>
    <row r="2" spans="1:11" x14ac:dyDescent="0.2">
      <c r="A2" t="s">
        <v>358</v>
      </c>
      <c r="B2" t="s">
        <v>359</v>
      </c>
      <c r="E2">
        <v>3</v>
      </c>
      <c r="F2" t="s">
        <v>360</v>
      </c>
      <c r="G2" t="s">
        <v>361</v>
      </c>
      <c r="J2" t="s">
        <v>362</v>
      </c>
      <c r="K2">
        <v>0.5</v>
      </c>
    </row>
    <row r="3" spans="1:11" x14ac:dyDescent="0.2">
      <c r="A3" t="s">
        <v>358</v>
      </c>
      <c r="B3" t="s">
        <v>363</v>
      </c>
      <c r="F3" t="s">
        <v>364</v>
      </c>
      <c r="G3" t="s">
        <v>361</v>
      </c>
      <c r="J3" t="s">
        <v>362</v>
      </c>
    </row>
    <row r="4" spans="1:11" x14ac:dyDescent="0.2">
      <c r="A4" t="s">
        <v>358</v>
      </c>
      <c r="B4" t="s">
        <v>365</v>
      </c>
      <c r="F4" t="s">
        <v>366</v>
      </c>
      <c r="G4" t="s">
        <v>361</v>
      </c>
      <c r="J4" t="s">
        <v>367</v>
      </c>
    </row>
    <row r="5" spans="1:11" x14ac:dyDescent="0.2">
      <c r="A5" t="s">
        <v>358</v>
      </c>
      <c r="B5" t="s">
        <v>365</v>
      </c>
      <c r="F5" t="s">
        <v>366</v>
      </c>
      <c r="G5" t="s">
        <v>361</v>
      </c>
      <c r="J5" t="s">
        <v>367</v>
      </c>
    </row>
    <row r="6" spans="1:11" x14ac:dyDescent="0.2">
      <c r="A6" t="s">
        <v>368</v>
      </c>
      <c r="B6" t="s">
        <v>369</v>
      </c>
      <c r="F6" t="s">
        <v>366</v>
      </c>
      <c r="G6" t="s">
        <v>370</v>
      </c>
      <c r="H6" t="s">
        <v>79</v>
      </c>
      <c r="J6" t="s">
        <v>367</v>
      </c>
    </row>
    <row r="7" spans="1:11" x14ac:dyDescent="0.2">
      <c r="A7" t="s">
        <v>371</v>
      </c>
      <c r="B7" t="s">
        <v>372</v>
      </c>
      <c r="F7" t="s">
        <v>373</v>
      </c>
      <c r="G7" t="s">
        <v>361</v>
      </c>
      <c r="J7" t="s">
        <v>367</v>
      </c>
      <c r="K7">
        <v>0.14000000000000001</v>
      </c>
    </row>
    <row r="8" spans="1:11" x14ac:dyDescent="0.2">
      <c r="A8" t="s">
        <v>371</v>
      </c>
      <c r="B8" t="s">
        <v>372</v>
      </c>
      <c r="F8" t="s">
        <v>373</v>
      </c>
      <c r="G8" t="s">
        <v>361</v>
      </c>
      <c r="J8" t="s">
        <v>367</v>
      </c>
      <c r="K8">
        <v>0.5</v>
      </c>
    </row>
    <row r="9" spans="1:11" x14ac:dyDescent="0.2">
      <c r="A9" t="s">
        <v>371</v>
      </c>
      <c r="B9" t="s">
        <v>374</v>
      </c>
      <c r="E9">
        <v>3</v>
      </c>
      <c r="F9" t="s">
        <v>375</v>
      </c>
      <c r="G9" t="s">
        <v>361</v>
      </c>
      <c r="J9" t="s">
        <v>367</v>
      </c>
    </row>
    <row r="10" spans="1:11" x14ac:dyDescent="0.2">
      <c r="A10" t="s">
        <v>358</v>
      </c>
      <c r="B10">
        <v>2550</v>
      </c>
      <c r="E10">
        <v>6</v>
      </c>
      <c r="F10" t="s">
        <v>376</v>
      </c>
      <c r="G10" t="s">
        <v>361</v>
      </c>
      <c r="J10" t="s">
        <v>367</v>
      </c>
      <c r="K10">
        <v>0.14000000000000001</v>
      </c>
    </row>
    <row r="11" spans="1:11" x14ac:dyDescent="0.2">
      <c r="A11" t="s">
        <v>358</v>
      </c>
      <c r="B11">
        <v>2653</v>
      </c>
      <c r="E11">
        <v>3</v>
      </c>
      <c r="F11" t="s">
        <v>375</v>
      </c>
      <c r="G11" t="s">
        <v>377</v>
      </c>
      <c r="J11" t="s">
        <v>367</v>
      </c>
      <c r="K11">
        <v>0.75</v>
      </c>
    </row>
    <row r="12" spans="1:11" x14ac:dyDescent="0.2">
      <c r="A12" t="s">
        <v>371</v>
      </c>
      <c r="B12" t="s">
        <v>378</v>
      </c>
      <c r="C12" s="7"/>
      <c r="D12" s="7"/>
      <c r="F12" t="s">
        <v>379</v>
      </c>
      <c r="G12" t="s">
        <v>361</v>
      </c>
      <c r="J12" t="s">
        <v>367</v>
      </c>
    </row>
    <row r="13" spans="1:11" x14ac:dyDescent="0.2">
      <c r="A13" t="s">
        <v>371</v>
      </c>
      <c r="B13" t="s">
        <v>378</v>
      </c>
      <c r="C13" s="7"/>
      <c r="D13" s="7"/>
      <c r="F13" t="s">
        <v>379</v>
      </c>
      <c r="G13" t="s">
        <v>361</v>
      </c>
      <c r="J13" t="s">
        <v>367</v>
      </c>
    </row>
    <row r="14" spans="1:11" x14ac:dyDescent="0.2">
      <c r="A14" t="s">
        <v>380</v>
      </c>
      <c r="B14" t="s">
        <v>381</v>
      </c>
      <c r="C14" s="8">
        <v>3</v>
      </c>
      <c r="D14" s="8" t="s">
        <v>382</v>
      </c>
      <c r="F14" t="s">
        <v>383</v>
      </c>
      <c r="G14" t="s">
        <v>361</v>
      </c>
      <c r="J14" t="s">
        <v>367</v>
      </c>
      <c r="K14">
        <v>0.75</v>
      </c>
    </row>
    <row r="15" spans="1:11" x14ac:dyDescent="0.2">
      <c r="A15" t="s">
        <v>380</v>
      </c>
      <c r="B15" t="s">
        <v>381</v>
      </c>
      <c r="C15" s="8">
        <v>3</v>
      </c>
      <c r="D15" s="8" t="s">
        <v>382</v>
      </c>
      <c r="F15" t="s">
        <v>383</v>
      </c>
      <c r="G15" t="s">
        <v>361</v>
      </c>
      <c r="J15" t="s">
        <v>367</v>
      </c>
    </row>
    <row r="16" spans="1:11" x14ac:dyDescent="0.2">
      <c r="A16" t="s">
        <v>380</v>
      </c>
      <c r="B16" t="s">
        <v>384</v>
      </c>
      <c r="C16" s="8">
        <v>1</v>
      </c>
      <c r="D16" s="8" t="s">
        <v>385</v>
      </c>
      <c r="F16" t="s">
        <v>383</v>
      </c>
      <c r="G16" t="s">
        <v>361</v>
      </c>
      <c r="J16" t="s">
        <v>367</v>
      </c>
    </row>
    <row r="17" spans="1:10" x14ac:dyDescent="0.2">
      <c r="A17" t="s">
        <v>371</v>
      </c>
      <c r="B17" t="s">
        <v>386</v>
      </c>
      <c r="F17" t="s">
        <v>387</v>
      </c>
      <c r="G17" t="s">
        <v>361</v>
      </c>
      <c r="J17" t="s">
        <v>367</v>
      </c>
    </row>
    <row r="18" spans="1:10" x14ac:dyDescent="0.2">
      <c r="A18" t="s">
        <v>388</v>
      </c>
      <c r="B18" t="s">
        <v>389</v>
      </c>
      <c r="F18" t="s">
        <v>383</v>
      </c>
      <c r="G18" t="s">
        <v>361</v>
      </c>
      <c r="J18" t="s">
        <v>367</v>
      </c>
    </row>
    <row r="19" spans="1:10" x14ac:dyDescent="0.2">
      <c r="A19" t="s">
        <v>358</v>
      </c>
      <c r="B19" t="s">
        <v>390</v>
      </c>
      <c r="F19" t="s">
        <v>391</v>
      </c>
      <c r="G19" t="s">
        <v>361</v>
      </c>
      <c r="J19" t="s">
        <v>367</v>
      </c>
    </row>
    <row r="20" spans="1:10" x14ac:dyDescent="0.2">
      <c r="A20" t="s">
        <v>358</v>
      </c>
      <c r="B20" t="s">
        <v>390</v>
      </c>
      <c r="F20" t="s">
        <v>391</v>
      </c>
      <c r="G20" t="s">
        <v>361</v>
      </c>
      <c r="J20" t="s">
        <v>367</v>
      </c>
    </row>
    <row r="21" spans="1:10" x14ac:dyDescent="0.2">
      <c r="A21" t="s">
        <v>392</v>
      </c>
      <c r="B21" t="s">
        <v>393</v>
      </c>
      <c r="F21" t="s">
        <v>391</v>
      </c>
      <c r="G21" t="s">
        <v>361</v>
      </c>
      <c r="J21" t="s">
        <v>362</v>
      </c>
    </row>
    <row r="22" spans="1:10" x14ac:dyDescent="0.2">
      <c r="A22" t="s">
        <v>392</v>
      </c>
      <c r="B22" t="s">
        <v>394</v>
      </c>
      <c r="F22" t="s">
        <v>391</v>
      </c>
      <c r="G22" t="s">
        <v>361</v>
      </c>
      <c r="J22" t="s">
        <v>367</v>
      </c>
    </row>
    <row r="23" spans="1:10" x14ac:dyDescent="0.2">
      <c r="A23" t="s">
        <v>395</v>
      </c>
      <c r="B23" t="s">
        <v>396</v>
      </c>
      <c r="F23" t="s">
        <v>397</v>
      </c>
      <c r="G23" t="s">
        <v>377</v>
      </c>
      <c r="J23" t="s">
        <v>362</v>
      </c>
    </row>
    <row r="24" spans="1:10" x14ac:dyDescent="0.2">
      <c r="A24" t="s">
        <v>358</v>
      </c>
      <c r="B24">
        <v>4005</v>
      </c>
      <c r="F24" t="s">
        <v>397</v>
      </c>
      <c r="G24" t="s">
        <v>377</v>
      </c>
      <c r="J24" t="s">
        <v>335</v>
      </c>
    </row>
    <row r="25" spans="1:10" x14ac:dyDescent="0.2">
      <c r="A25" t="s">
        <v>398</v>
      </c>
      <c r="B25" t="s">
        <v>399</v>
      </c>
      <c r="F25" t="s">
        <v>400</v>
      </c>
      <c r="G25" t="s">
        <v>79</v>
      </c>
      <c r="H25" t="s">
        <v>79</v>
      </c>
      <c r="J25" t="s">
        <v>401</v>
      </c>
    </row>
    <row r="26" spans="1:10" x14ac:dyDescent="0.2">
      <c r="A26" t="s">
        <v>371</v>
      </c>
      <c r="B26" t="s">
        <v>402</v>
      </c>
      <c r="F26" t="s">
        <v>403</v>
      </c>
      <c r="G26" t="s">
        <v>79</v>
      </c>
      <c r="H26" t="s">
        <v>79</v>
      </c>
      <c r="J26" t="s">
        <v>401</v>
      </c>
    </row>
    <row r="27" spans="1:10" x14ac:dyDescent="0.2">
      <c r="A27" t="s">
        <v>404</v>
      </c>
      <c r="B27" t="s">
        <v>405</v>
      </c>
      <c r="F27" t="s">
        <v>406</v>
      </c>
      <c r="G27" t="s">
        <v>79</v>
      </c>
      <c r="H27" t="s">
        <v>79</v>
      </c>
      <c r="J27" t="s">
        <v>362</v>
      </c>
    </row>
    <row r="28" spans="1:10" x14ac:dyDescent="0.2">
      <c r="A28" t="s">
        <v>407</v>
      </c>
      <c r="F28" t="s">
        <v>406</v>
      </c>
      <c r="G28" t="s">
        <v>79</v>
      </c>
      <c r="H28" t="s">
        <v>79</v>
      </c>
      <c r="J28" t="s">
        <v>408</v>
      </c>
    </row>
    <row r="29" spans="1:10" x14ac:dyDescent="0.2">
      <c r="A29" t="s">
        <v>409</v>
      </c>
      <c r="F29" t="s">
        <v>410</v>
      </c>
      <c r="G29" t="s">
        <v>79</v>
      </c>
      <c r="H29" t="s">
        <v>79</v>
      </c>
      <c r="J29" t="s">
        <v>411</v>
      </c>
    </row>
    <row r="30" spans="1:10" x14ac:dyDescent="0.2">
      <c r="A30" t="s">
        <v>409</v>
      </c>
      <c r="F30" t="s">
        <v>410</v>
      </c>
      <c r="G30" t="s">
        <v>79</v>
      </c>
      <c r="H30" t="s">
        <v>79</v>
      </c>
      <c r="J30" t="s">
        <v>411</v>
      </c>
    </row>
    <row r="31" spans="1:10" x14ac:dyDescent="0.2">
      <c r="A31" t="s">
        <v>412</v>
      </c>
      <c r="F31" t="s">
        <v>413</v>
      </c>
      <c r="G31" t="s">
        <v>79</v>
      </c>
      <c r="H31" t="s">
        <v>79</v>
      </c>
      <c r="J31" t="s">
        <v>401</v>
      </c>
    </row>
    <row r="32" spans="1:10" x14ac:dyDescent="0.2">
      <c r="A32" t="s">
        <v>371</v>
      </c>
      <c r="B32" t="s">
        <v>414</v>
      </c>
      <c r="F32" t="s">
        <v>415</v>
      </c>
      <c r="G32" t="s">
        <v>79</v>
      </c>
      <c r="H32" t="s">
        <v>79</v>
      </c>
      <c r="J32" t="s">
        <v>367</v>
      </c>
    </row>
    <row r="33" spans="1:10" x14ac:dyDescent="0.2">
      <c r="A33" t="s">
        <v>416</v>
      </c>
      <c r="B33" t="s">
        <v>417</v>
      </c>
      <c r="F33" t="s">
        <v>418</v>
      </c>
      <c r="G33" t="s">
        <v>79</v>
      </c>
      <c r="H33" t="s">
        <v>79</v>
      </c>
      <c r="J33" t="s">
        <v>362</v>
      </c>
    </row>
    <row r="34" spans="1:10" x14ac:dyDescent="0.2">
      <c r="A34" t="s">
        <v>419</v>
      </c>
      <c r="F34" t="s">
        <v>420</v>
      </c>
      <c r="G34" t="s">
        <v>79</v>
      </c>
      <c r="H34" t="s">
        <v>79</v>
      </c>
      <c r="J34" t="s">
        <v>401</v>
      </c>
    </row>
    <row r="35" spans="1:10" x14ac:dyDescent="0.2">
      <c r="A35" t="s">
        <v>421</v>
      </c>
      <c r="B35" t="s">
        <v>422</v>
      </c>
      <c r="F35" t="s">
        <v>423</v>
      </c>
      <c r="G35" t="s">
        <v>370</v>
      </c>
      <c r="H35" t="s">
        <v>79</v>
      </c>
      <c r="J35" t="s">
        <v>367</v>
      </c>
    </row>
    <row r="36" spans="1:10" x14ac:dyDescent="0.2">
      <c r="A36" t="s">
        <v>421</v>
      </c>
      <c r="B36" t="s">
        <v>424</v>
      </c>
      <c r="F36" t="s">
        <v>425</v>
      </c>
      <c r="G36" t="s">
        <v>370</v>
      </c>
      <c r="H36" t="s">
        <v>79</v>
      </c>
      <c r="J36" t="s">
        <v>367</v>
      </c>
    </row>
    <row r="37" spans="1:10" x14ac:dyDescent="0.2">
      <c r="A37" t="s">
        <v>421</v>
      </c>
      <c r="B37" t="s">
        <v>426</v>
      </c>
      <c r="F37" t="s">
        <v>425</v>
      </c>
      <c r="G37" t="s">
        <v>370</v>
      </c>
      <c r="H37" t="s">
        <v>79</v>
      </c>
      <c r="J37" t="s">
        <v>367</v>
      </c>
    </row>
    <row r="38" spans="1:10" x14ac:dyDescent="0.2">
      <c r="A38" t="s">
        <v>427</v>
      </c>
      <c r="B38" t="s">
        <v>428</v>
      </c>
      <c r="C38">
        <v>4</v>
      </c>
      <c r="D38" t="s">
        <v>429</v>
      </c>
      <c r="F38" t="s">
        <v>383</v>
      </c>
      <c r="G38" t="s">
        <v>370</v>
      </c>
      <c r="H38" t="s">
        <v>79</v>
      </c>
      <c r="J38" t="s">
        <v>430</v>
      </c>
    </row>
    <row r="39" spans="1:10" x14ac:dyDescent="0.2">
      <c r="A39" t="s">
        <v>427</v>
      </c>
      <c r="B39" t="s">
        <v>431</v>
      </c>
      <c r="C39">
        <v>1</v>
      </c>
      <c r="F39" t="s">
        <v>383</v>
      </c>
      <c r="G39" t="s">
        <v>370</v>
      </c>
      <c r="H39" t="s">
        <v>79</v>
      </c>
      <c r="J39" t="s">
        <v>430</v>
      </c>
    </row>
    <row r="40" spans="1:10" x14ac:dyDescent="0.2">
      <c r="A40" t="s">
        <v>432</v>
      </c>
      <c r="B40" t="s">
        <v>433</v>
      </c>
      <c r="F40" t="s">
        <v>379</v>
      </c>
      <c r="G40" t="s">
        <v>370</v>
      </c>
      <c r="H40" t="s">
        <v>79</v>
      </c>
      <c r="J40" t="s">
        <v>430</v>
      </c>
    </row>
    <row r="41" spans="1:10" x14ac:dyDescent="0.2">
      <c r="A41" t="s">
        <v>371</v>
      </c>
      <c r="B41" t="s">
        <v>434</v>
      </c>
      <c r="F41" t="s">
        <v>379</v>
      </c>
      <c r="G41" t="s">
        <v>370</v>
      </c>
      <c r="H41" t="s">
        <v>79</v>
      </c>
      <c r="J41" t="s">
        <v>430</v>
      </c>
    </row>
    <row r="42" spans="1:10" x14ac:dyDescent="0.2">
      <c r="A42" t="s">
        <v>435</v>
      </c>
      <c r="F42" t="s">
        <v>436</v>
      </c>
      <c r="G42" t="s">
        <v>370</v>
      </c>
      <c r="H42" t="s">
        <v>79</v>
      </c>
      <c r="J42" t="s">
        <v>430</v>
      </c>
    </row>
    <row r="43" spans="1:10" x14ac:dyDescent="0.2">
      <c r="A43" t="s">
        <v>380</v>
      </c>
      <c r="B43" t="s">
        <v>437</v>
      </c>
      <c r="C43">
        <v>3</v>
      </c>
      <c r="D43" t="s">
        <v>438</v>
      </c>
      <c r="F43" t="s">
        <v>439</v>
      </c>
      <c r="G43" t="s">
        <v>370</v>
      </c>
      <c r="H43" t="s">
        <v>79</v>
      </c>
      <c r="J43" t="s">
        <v>430</v>
      </c>
    </row>
    <row r="44" spans="1:10" x14ac:dyDescent="0.2">
      <c r="A44" t="s">
        <v>440</v>
      </c>
      <c r="F44" t="s">
        <v>441</v>
      </c>
      <c r="G44" t="s">
        <v>442</v>
      </c>
      <c r="H44" t="s">
        <v>79</v>
      </c>
      <c r="J44" t="s">
        <v>443</v>
      </c>
    </row>
    <row r="45" spans="1:10" x14ac:dyDescent="0.2">
      <c r="A45" t="s">
        <v>440</v>
      </c>
      <c r="F45" t="s">
        <v>441</v>
      </c>
      <c r="G45" t="s">
        <v>442</v>
      </c>
      <c r="H45" t="s">
        <v>79</v>
      </c>
      <c r="J45" t="s">
        <v>443</v>
      </c>
    </row>
    <row r="46" spans="1:10" x14ac:dyDescent="0.2">
      <c r="A46" t="s">
        <v>444</v>
      </c>
      <c r="B46" t="s">
        <v>445</v>
      </c>
      <c r="F46" t="s">
        <v>441</v>
      </c>
      <c r="G46" t="s">
        <v>442</v>
      </c>
      <c r="H46" t="s">
        <v>79</v>
      </c>
      <c r="J46" t="s">
        <v>443</v>
      </c>
    </row>
    <row r="47" spans="1:10" x14ac:dyDescent="0.2">
      <c r="A47" t="s">
        <v>446</v>
      </c>
      <c r="F47" t="s">
        <v>441</v>
      </c>
      <c r="G47" t="s">
        <v>442</v>
      </c>
      <c r="H47" t="s">
        <v>79</v>
      </c>
      <c r="J47" t="s">
        <v>443</v>
      </c>
    </row>
    <row r="48" spans="1:10" x14ac:dyDescent="0.2">
      <c r="A48" t="s">
        <v>447</v>
      </c>
      <c r="B48" t="s">
        <v>448</v>
      </c>
      <c r="F48" t="s">
        <v>441</v>
      </c>
      <c r="G48" t="s">
        <v>449</v>
      </c>
      <c r="H48" t="s">
        <v>79</v>
      </c>
      <c r="J48" t="s">
        <v>443</v>
      </c>
    </row>
    <row r="49" spans="1:10" x14ac:dyDescent="0.2">
      <c r="A49" t="s">
        <v>450</v>
      </c>
      <c r="F49" t="s">
        <v>441</v>
      </c>
      <c r="G49" t="s">
        <v>442</v>
      </c>
      <c r="H49" t="s">
        <v>79</v>
      </c>
      <c r="J49" t="s">
        <v>443</v>
      </c>
    </row>
    <row r="50" spans="1:10" x14ac:dyDescent="0.2">
      <c r="A50" t="s">
        <v>358</v>
      </c>
      <c r="B50" t="s">
        <v>451</v>
      </c>
      <c r="F50" t="s">
        <v>391</v>
      </c>
      <c r="G50" t="s">
        <v>361</v>
      </c>
      <c r="J50" t="s">
        <v>367</v>
      </c>
    </row>
    <row r="51" spans="1:10" x14ac:dyDescent="0.2">
      <c r="A51" t="s">
        <v>371</v>
      </c>
      <c r="B51" t="s">
        <v>452</v>
      </c>
      <c r="C51">
        <v>2</v>
      </c>
      <c r="D51" t="s">
        <v>453</v>
      </c>
      <c r="F51" t="s">
        <v>454</v>
      </c>
      <c r="G51" t="s">
        <v>377</v>
      </c>
      <c r="J51" t="s">
        <v>362</v>
      </c>
    </row>
    <row r="52" spans="1:10" x14ac:dyDescent="0.2">
      <c r="A52" t="s">
        <v>455</v>
      </c>
      <c r="B52" t="s">
        <v>456</v>
      </c>
      <c r="F52" t="s">
        <v>457</v>
      </c>
      <c r="G52" t="s">
        <v>377</v>
      </c>
      <c r="J52" t="s">
        <v>411</v>
      </c>
    </row>
    <row r="53" spans="1:10" x14ac:dyDescent="0.2">
      <c r="A53" t="s">
        <v>458</v>
      </c>
      <c r="B53" t="s">
        <v>459</v>
      </c>
      <c r="F53" t="s">
        <v>460</v>
      </c>
      <c r="G53" t="s">
        <v>79</v>
      </c>
      <c r="H53" t="s">
        <v>79</v>
      </c>
      <c r="J53" t="s">
        <v>335</v>
      </c>
    </row>
    <row r="54" spans="1:10" x14ac:dyDescent="0.2">
      <c r="F54" t="s">
        <v>460</v>
      </c>
      <c r="G54" t="s">
        <v>79</v>
      </c>
      <c r="H54" t="s">
        <v>79</v>
      </c>
      <c r="J54" t="s">
        <v>335</v>
      </c>
    </row>
    <row r="55" spans="1:10" x14ac:dyDescent="0.2">
      <c r="F55" t="s">
        <v>460</v>
      </c>
      <c r="G55" t="s">
        <v>79</v>
      </c>
      <c r="H55" t="s">
        <v>79</v>
      </c>
      <c r="J55" t="s">
        <v>335</v>
      </c>
    </row>
    <row r="56" spans="1:10" x14ac:dyDescent="0.2">
      <c r="A56" t="s">
        <v>461</v>
      </c>
      <c r="B56" t="s">
        <v>462</v>
      </c>
      <c r="F56" t="s">
        <v>463</v>
      </c>
      <c r="G56" t="s">
        <v>361</v>
      </c>
      <c r="J56" t="s">
        <v>443</v>
      </c>
    </row>
    <row r="57" spans="1:10" x14ac:dyDescent="0.2">
      <c r="A57" t="s">
        <v>464</v>
      </c>
      <c r="B57" t="s">
        <v>465</v>
      </c>
      <c r="F57" t="s">
        <v>466</v>
      </c>
      <c r="G57" t="s">
        <v>79</v>
      </c>
      <c r="H57" t="s">
        <v>79</v>
      </c>
      <c r="J57" t="s">
        <v>443</v>
      </c>
    </row>
    <row r="58" spans="1:10" x14ac:dyDescent="0.2">
      <c r="A58" t="s">
        <v>368</v>
      </c>
      <c r="B58" t="s">
        <v>467</v>
      </c>
      <c r="F58" t="s">
        <v>468</v>
      </c>
      <c r="G58" t="s">
        <v>370</v>
      </c>
      <c r="H58" t="s">
        <v>79</v>
      </c>
      <c r="J58" t="s">
        <v>469</v>
      </c>
    </row>
    <row r="59" spans="1:10" x14ac:dyDescent="0.2">
      <c r="A59" t="s">
        <v>368</v>
      </c>
      <c r="B59" t="s">
        <v>467</v>
      </c>
      <c r="F59" t="s">
        <v>470</v>
      </c>
      <c r="G59" t="s">
        <v>370</v>
      </c>
      <c r="H59" t="s">
        <v>79</v>
      </c>
      <c r="J59" t="s">
        <v>469</v>
      </c>
    </row>
    <row r="60" spans="1:10" x14ac:dyDescent="0.2">
      <c r="A60" t="s">
        <v>432</v>
      </c>
      <c r="F60" t="s">
        <v>468</v>
      </c>
      <c r="G60" t="s">
        <v>370</v>
      </c>
      <c r="H60" t="s">
        <v>79</v>
      </c>
      <c r="J60" t="s">
        <v>469</v>
      </c>
    </row>
    <row r="61" spans="1:10" x14ac:dyDescent="0.2">
      <c r="A61" t="s">
        <v>471</v>
      </c>
      <c r="F61" t="s">
        <v>468</v>
      </c>
      <c r="G61" t="s">
        <v>472</v>
      </c>
      <c r="J61" t="s">
        <v>469</v>
      </c>
    </row>
    <row r="62" spans="1:10" x14ac:dyDescent="0.2">
      <c r="A62" t="s">
        <v>471</v>
      </c>
      <c r="F62" t="s">
        <v>468</v>
      </c>
      <c r="G62" t="s">
        <v>472</v>
      </c>
      <c r="J62" t="s">
        <v>469</v>
      </c>
    </row>
    <row r="63" spans="1:10" x14ac:dyDescent="0.2">
      <c r="A63" t="s">
        <v>471</v>
      </c>
      <c r="B63" t="s">
        <v>473</v>
      </c>
      <c r="F63" t="s">
        <v>474</v>
      </c>
      <c r="G63" t="s">
        <v>472</v>
      </c>
      <c r="J63" t="s">
        <v>469</v>
      </c>
    </row>
    <row r="64" spans="1:10" x14ac:dyDescent="0.2">
      <c r="A64" t="s">
        <v>471</v>
      </c>
      <c r="B64" t="s">
        <v>475</v>
      </c>
      <c r="F64" t="s">
        <v>474</v>
      </c>
      <c r="G64" t="s">
        <v>472</v>
      </c>
      <c r="J64" t="s">
        <v>469</v>
      </c>
    </row>
    <row r="65" spans="1:10" x14ac:dyDescent="0.2">
      <c r="A65" t="s">
        <v>471</v>
      </c>
      <c r="B65" t="s">
        <v>475</v>
      </c>
      <c r="F65" t="s">
        <v>474</v>
      </c>
      <c r="G65" t="s">
        <v>472</v>
      </c>
      <c r="J65" t="s">
        <v>469</v>
      </c>
    </row>
    <row r="66" spans="1:10" x14ac:dyDescent="0.2">
      <c r="A66" t="s">
        <v>368</v>
      </c>
      <c r="B66" t="s">
        <v>476</v>
      </c>
      <c r="F66" t="s">
        <v>474</v>
      </c>
      <c r="G66" t="s">
        <v>370</v>
      </c>
      <c r="H66" t="s">
        <v>79</v>
      </c>
      <c r="J66" t="s">
        <v>469</v>
      </c>
    </row>
    <row r="67" spans="1:10" x14ac:dyDescent="0.2">
      <c r="A67" t="s">
        <v>368</v>
      </c>
      <c r="B67" t="s">
        <v>477</v>
      </c>
      <c r="F67" t="s">
        <v>379</v>
      </c>
      <c r="G67" t="s">
        <v>370</v>
      </c>
      <c r="H67" t="s">
        <v>79</v>
      </c>
      <c r="J67" t="s">
        <v>443</v>
      </c>
    </row>
    <row r="68" spans="1:10" x14ac:dyDescent="0.2">
      <c r="A68" t="s">
        <v>368</v>
      </c>
      <c r="B68" t="s">
        <v>477</v>
      </c>
      <c r="F68" t="s">
        <v>379</v>
      </c>
      <c r="G68" t="s">
        <v>370</v>
      </c>
      <c r="H68" t="s">
        <v>79</v>
      </c>
      <c r="J68" t="s">
        <v>443</v>
      </c>
    </row>
    <row r="69" spans="1:10" x14ac:dyDescent="0.2">
      <c r="A69" t="s">
        <v>368</v>
      </c>
      <c r="F69" t="s">
        <v>478</v>
      </c>
      <c r="G69" t="s">
        <v>370</v>
      </c>
      <c r="H69" t="s">
        <v>79</v>
      </c>
      <c r="J69" t="s">
        <v>367</v>
      </c>
    </row>
    <row r="70" spans="1:10" x14ac:dyDescent="0.2">
      <c r="A70" t="s">
        <v>432</v>
      </c>
      <c r="F70" t="s">
        <v>478</v>
      </c>
      <c r="G70" t="s">
        <v>370</v>
      </c>
      <c r="H70" t="s">
        <v>79</v>
      </c>
      <c r="J70" t="s">
        <v>430</v>
      </c>
    </row>
    <row r="71" spans="1:10" x14ac:dyDescent="0.2">
      <c r="A71" t="s">
        <v>479</v>
      </c>
      <c r="B71" t="s">
        <v>480</v>
      </c>
      <c r="F71" t="s">
        <v>481</v>
      </c>
      <c r="G71" t="s">
        <v>370</v>
      </c>
      <c r="H71" t="s">
        <v>79</v>
      </c>
      <c r="J71" t="s">
        <v>408</v>
      </c>
    </row>
    <row r="72" spans="1:10" x14ac:dyDescent="0.2">
      <c r="A72" t="s">
        <v>482</v>
      </c>
      <c r="B72">
        <v>2</v>
      </c>
      <c r="F72" t="s">
        <v>463</v>
      </c>
      <c r="G72" t="s">
        <v>370</v>
      </c>
      <c r="H72" t="s">
        <v>79</v>
      </c>
      <c r="J72" t="s">
        <v>408</v>
      </c>
    </row>
    <row r="73" spans="1:10" x14ac:dyDescent="0.2">
      <c r="A73" t="s">
        <v>483</v>
      </c>
      <c r="B73" t="s">
        <v>484</v>
      </c>
      <c r="F73" t="s">
        <v>485</v>
      </c>
      <c r="G73" t="s">
        <v>370</v>
      </c>
      <c r="H73" t="s">
        <v>79</v>
      </c>
      <c r="J73" t="s">
        <v>408</v>
      </c>
    </row>
    <row r="74" spans="1:10" x14ac:dyDescent="0.2">
      <c r="A74" t="s">
        <v>486</v>
      </c>
      <c r="B74" t="s">
        <v>484</v>
      </c>
      <c r="E74" t="s">
        <v>487</v>
      </c>
      <c r="F74" t="s">
        <v>485</v>
      </c>
      <c r="G74" t="s">
        <v>370</v>
      </c>
      <c r="H74" t="s">
        <v>79</v>
      </c>
      <c r="J74" t="s">
        <v>430</v>
      </c>
    </row>
    <row r="75" spans="1:10" x14ac:dyDescent="0.2">
      <c r="A75" t="s">
        <v>486</v>
      </c>
      <c r="B75" t="s">
        <v>484</v>
      </c>
      <c r="E75" t="s">
        <v>488</v>
      </c>
      <c r="F75" t="s">
        <v>485</v>
      </c>
      <c r="G75" t="s">
        <v>370</v>
      </c>
      <c r="H75" t="s">
        <v>79</v>
      </c>
      <c r="J75" t="s">
        <v>430</v>
      </c>
    </row>
    <row r="76" spans="1:10" x14ac:dyDescent="0.2">
      <c r="A76" t="s">
        <v>489</v>
      </c>
      <c r="B76" t="s">
        <v>490</v>
      </c>
      <c r="F76" t="s">
        <v>491</v>
      </c>
      <c r="G76" t="s">
        <v>361</v>
      </c>
      <c r="J76" t="s">
        <v>362</v>
      </c>
    </row>
    <row r="77" spans="1:10" x14ac:dyDescent="0.2">
      <c r="A77" t="s">
        <v>492</v>
      </c>
      <c r="F77" t="s">
        <v>493</v>
      </c>
      <c r="G77" t="s">
        <v>361</v>
      </c>
      <c r="J77" t="s">
        <v>362</v>
      </c>
    </row>
    <row r="78" spans="1:10" x14ac:dyDescent="0.2">
      <c r="A78" t="s">
        <v>494</v>
      </c>
      <c r="F78" t="s">
        <v>495</v>
      </c>
      <c r="G78" t="s">
        <v>361</v>
      </c>
      <c r="J78" t="s">
        <v>362</v>
      </c>
    </row>
    <row r="79" spans="1:10" x14ac:dyDescent="0.2">
      <c r="A79" t="s">
        <v>494</v>
      </c>
      <c r="F79" t="s">
        <v>496</v>
      </c>
      <c r="G79" t="s">
        <v>361</v>
      </c>
      <c r="J79" t="s">
        <v>367</v>
      </c>
    </row>
    <row r="80" spans="1:10" x14ac:dyDescent="0.2">
      <c r="A80" t="s">
        <v>497</v>
      </c>
      <c r="F80" t="s">
        <v>498</v>
      </c>
      <c r="G80" t="s">
        <v>361</v>
      </c>
      <c r="J80" t="s">
        <v>362</v>
      </c>
    </row>
    <row r="81" spans="1:10" x14ac:dyDescent="0.2">
      <c r="A81" t="s">
        <v>499</v>
      </c>
      <c r="B81" t="s">
        <v>500</v>
      </c>
      <c r="F81" t="s">
        <v>501</v>
      </c>
      <c r="G81" t="s">
        <v>361</v>
      </c>
      <c r="J81" t="s">
        <v>367</v>
      </c>
    </row>
    <row r="82" spans="1:10" x14ac:dyDescent="0.2">
      <c r="A82" t="s">
        <v>502</v>
      </c>
      <c r="B82" t="s">
        <v>503</v>
      </c>
      <c r="F82" t="s">
        <v>504</v>
      </c>
      <c r="G82" t="s">
        <v>361</v>
      </c>
      <c r="J82" t="s">
        <v>367</v>
      </c>
    </row>
    <row r="83" spans="1:10" x14ac:dyDescent="0.2">
      <c r="A83" t="s">
        <v>505</v>
      </c>
      <c r="B83" t="s">
        <v>506</v>
      </c>
      <c r="F83" t="s">
        <v>406</v>
      </c>
      <c r="G83" t="s">
        <v>79</v>
      </c>
      <c r="H83" t="s">
        <v>79</v>
      </c>
      <c r="J83" t="s">
        <v>411</v>
      </c>
    </row>
    <row r="84" spans="1:10" x14ac:dyDescent="0.2">
      <c r="A84" t="s">
        <v>507</v>
      </c>
      <c r="B84" t="s">
        <v>508</v>
      </c>
      <c r="F84" t="s">
        <v>509</v>
      </c>
      <c r="G84" t="s">
        <v>361</v>
      </c>
      <c r="J84" t="s">
        <v>411</v>
      </c>
    </row>
    <row r="85" spans="1:10" x14ac:dyDescent="0.2">
      <c r="A85" t="s">
        <v>510</v>
      </c>
      <c r="B85" t="s">
        <v>511</v>
      </c>
      <c r="F85" t="s">
        <v>509</v>
      </c>
      <c r="G85" t="s">
        <v>361</v>
      </c>
      <c r="J85" t="s">
        <v>411</v>
      </c>
    </row>
    <row r="86" spans="1:10" x14ac:dyDescent="0.2">
      <c r="A86" t="s">
        <v>512</v>
      </c>
      <c r="B86" t="s">
        <v>513</v>
      </c>
      <c r="F86" t="s">
        <v>509</v>
      </c>
      <c r="G86" t="s">
        <v>361</v>
      </c>
      <c r="J86" t="s">
        <v>335</v>
      </c>
    </row>
    <row r="87" spans="1:10" x14ac:dyDescent="0.2">
      <c r="A87" t="s">
        <v>510</v>
      </c>
      <c r="B87" t="s">
        <v>511</v>
      </c>
      <c r="F87" t="s">
        <v>509</v>
      </c>
      <c r="G87" t="s">
        <v>361</v>
      </c>
      <c r="J87" t="s">
        <v>335</v>
      </c>
    </row>
    <row r="88" spans="1:10" x14ac:dyDescent="0.2">
      <c r="A88" t="s">
        <v>371</v>
      </c>
      <c r="B88">
        <v>5500</v>
      </c>
      <c r="E88">
        <v>5</v>
      </c>
      <c r="F88" t="s">
        <v>514</v>
      </c>
      <c r="G88" t="s">
        <v>377</v>
      </c>
      <c r="J88" t="s">
        <v>362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tabSelected="1" workbookViewId="0">
      <selection activeCell="A26" sqref="A26"/>
    </sheetView>
  </sheetViews>
  <sheetFormatPr baseColWidth="10" defaultRowHeight="16" x14ac:dyDescent="0.2"/>
  <cols>
    <col min="2" max="2" width="11.6640625" bestFit="1" customWidth="1"/>
    <col min="3" max="3" width="11.5" bestFit="1" customWidth="1"/>
    <col min="4" max="4" width="20" bestFit="1" customWidth="1"/>
    <col min="6" max="6" width="20.1640625" bestFit="1" customWidth="1"/>
  </cols>
  <sheetData>
    <row r="1" spans="1:6" x14ac:dyDescent="0.2">
      <c r="A1" t="s">
        <v>515</v>
      </c>
      <c r="B1" t="s">
        <v>516</v>
      </c>
      <c r="C1" t="s">
        <v>517</v>
      </c>
      <c r="D1" t="s">
        <v>518</v>
      </c>
      <c r="E1" t="s">
        <v>519</v>
      </c>
      <c r="F1" t="s">
        <v>520</v>
      </c>
    </row>
    <row r="2" spans="1:6" x14ac:dyDescent="0.2">
      <c r="A2" t="s">
        <v>521</v>
      </c>
      <c r="B2" t="s">
        <v>522</v>
      </c>
      <c r="C2" t="s">
        <v>523</v>
      </c>
      <c r="D2" t="s">
        <v>524</v>
      </c>
      <c r="E2" t="s">
        <v>525</v>
      </c>
      <c r="F2" s="6"/>
    </row>
    <row r="3" spans="1:6" x14ac:dyDescent="0.2">
      <c r="A3" t="s">
        <v>526</v>
      </c>
      <c r="B3" t="s">
        <v>527</v>
      </c>
      <c r="C3" t="s">
        <v>523</v>
      </c>
      <c r="D3" t="s">
        <v>524</v>
      </c>
      <c r="E3" t="s">
        <v>525</v>
      </c>
      <c r="F3" s="6"/>
    </row>
    <row r="4" spans="1:6" x14ac:dyDescent="0.2">
      <c r="A4" t="s">
        <v>528</v>
      </c>
      <c r="B4" t="s">
        <v>529</v>
      </c>
      <c r="C4" t="s">
        <v>523</v>
      </c>
      <c r="D4" t="s">
        <v>524</v>
      </c>
      <c r="E4" t="s">
        <v>525</v>
      </c>
      <c r="F4" s="6"/>
    </row>
    <row r="5" spans="1:6" x14ac:dyDescent="0.2">
      <c r="A5" t="s">
        <v>530</v>
      </c>
      <c r="B5" t="s">
        <v>531</v>
      </c>
      <c r="C5" t="s">
        <v>523</v>
      </c>
      <c r="D5" t="s">
        <v>524</v>
      </c>
      <c r="E5" t="s">
        <v>525</v>
      </c>
      <c r="F5" s="6"/>
    </row>
    <row r="6" spans="1:6" x14ac:dyDescent="0.2">
      <c r="A6" t="s">
        <v>532</v>
      </c>
      <c r="B6" t="s">
        <v>533</v>
      </c>
      <c r="C6" t="s">
        <v>523</v>
      </c>
      <c r="D6" t="s">
        <v>524</v>
      </c>
      <c r="E6" t="s">
        <v>534</v>
      </c>
      <c r="F6" s="6"/>
    </row>
    <row r="7" spans="1:6" x14ac:dyDescent="0.2">
      <c r="A7" t="s">
        <v>535</v>
      </c>
      <c r="B7" t="s">
        <v>536</v>
      </c>
      <c r="C7" t="s">
        <v>523</v>
      </c>
      <c r="D7" t="s">
        <v>524</v>
      </c>
      <c r="E7" t="s">
        <v>534</v>
      </c>
      <c r="F7" s="6"/>
    </row>
    <row r="8" spans="1:6" x14ac:dyDescent="0.2">
      <c r="A8" t="s">
        <v>537</v>
      </c>
      <c r="B8" t="s">
        <v>538</v>
      </c>
      <c r="C8" t="s">
        <v>523</v>
      </c>
      <c r="D8" t="s">
        <v>539</v>
      </c>
      <c r="E8" t="s">
        <v>537</v>
      </c>
      <c r="F8" s="6"/>
    </row>
    <row r="9" spans="1:6" x14ac:dyDescent="0.2">
      <c r="A9" t="s">
        <v>540</v>
      </c>
      <c r="B9" t="s">
        <v>541</v>
      </c>
      <c r="C9" t="s">
        <v>523</v>
      </c>
      <c r="D9" t="s">
        <v>524</v>
      </c>
      <c r="E9" t="s">
        <v>542</v>
      </c>
      <c r="F9" s="6"/>
    </row>
    <row r="10" spans="1:6" x14ac:dyDescent="0.2">
      <c r="A10" t="s">
        <v>543</v>
      </c>
      <c r="B10" t="s">
        <v>544</v>
      </c>
      <c r="C10" t="s">
        <v>545</v>
      </c>
      <c r="D10" t="s">
        <v>546</v>
      </c>
      <c r="E10" t="s">
        <v>525</v>
      </c>
      <c r="F10" s="6"/>
    </row>
    <row r="11" spans="1:6" x14ac:dyDescent="0.2">
      <c r="A11" t="s">
        <v>547</v>
      </c>
      <c r="B11" t="s">
        <v>548</v>
      </c>
      <c r="C11" t="s">
        <v>545</v>
      </c>
      <c r="D11" t="s">
        <v>546</v>
      </c>
      <c r="E11" t="s">
        <v>549</v>
      </c>
      <c r="F11" s="6"/>
    </row>
    <row r="12" spans="1:6" x14ac:dyDescent="0.2">
      <c r="A12" t="s">
        <v>550</v>
      </c>
      <c r="B12" t="s">
        <v>551</v>
      </c>
      <c r="C12" t="s">
        <v>545</v>
      </c>
      <c r="D12" t="s">
        <v>546</v>
      </c>
      <c r="E12" t="s">
        <v>549</v>
      </c>
      <c r="F12" s="6"/>
    </row>
    <row r="13" spans="1:6" x14ac:dyDescent="0.2">
      <c r="A13" t="s">
        <v>552</v>
      </c>
      <c r="B13" t="s">
        <v>444</v>
      </c>
      <c r="C13" t="s">
        <v>523</v>
      </c>
      <c r="D13" t="s">
        <v>546</v>
      </c>
      <c r="E13" t="s">
        <v>534</v>
      </c>
      <c r="F13" s="6"/>
    </row>
    <row r="14" spans="1:6" x14ac:dyDescent="0.2">
      <c r="A14" t="s">
        <v>553</v>
      </c>
      <c r="B14" t="s">
        <v>534</v>
      </c>
      <c r="C14" t="s">
        <v>523</v>
      </c>
      <c r="D14" t="s">
        <v>554</v>
      </c>
      <c r="E14" t="s">
        <v>534</v>
      </c>
      <c r="F14" s="6"/>
    </row>
    <row r="15" spans="1:6" x14ac:dyDescent="0.2">
      <c r="A15" t="s">
        <v>555</v>
      </c>
      <c r="B15" t="s">
        <v>542</v>
      </c>
      <c r="C15" t="s">
        <v>523</v>
      </c>
      <c r="D15" t="s">
        <v>554</v>
      </c>
      <c r="E15" t="s">
        <v>542</v>
      </c>
      <c r="F15" s="6"/>
    </row>
    <row r="16" spans="1:6" x14ac:dyDescent="0.2">
      <c r="A16" t="s">
        <v>556</v>
      </c>
      <c r="B16" t="s">
        <v>549</v>
      </c>
      <c r="C16" t="s">
        <v>545</v>
      </c>
      <c r="D16" t="s">
        <v>554</v>
      </c>
      <c r="E16" t="s">
        <v>549</v>
      </c>
      <c r="F16" s="6"/>
    </row>
    <row r="17" spans="1:6" x14ac:dyDescent="0.2">
      <c r="A17" t="s">
        <v>557</v>
      </c>
      <c r="B17" t="s">
        <v>525</v>
      </c>
      <c r="C17" t="s">
        <v>523</v>
      </c>
      <c r="D17" t="s">
        <v>554</v>
      </c>
      <c r="E17" t="s">
        <v>525</v>
      </c>
      <c r="F17" s="6"/>
    </row>
    <row r="18" spans="1:6" x14ac:dyDescent="0.2">
      <c r="A18" t="s">
        <v>557</v>
      </c>
      <c r="B18" t="s">
        <v>558</v>
      </c>
      <c r="C18" t="s">
        <v>523</v>
      </c>
      <c r="D18" t="s">
        <v>554</v>
      </c>
      <c r="E18" t="s">
        <v>558</v>
      </c>
      <c r="F18" s="6"/>
    </row>
    <row r="19" spans="1:6" x14ac:dyDescent="0.2">
      <c r="A19" t="s">
        <v>559</v>
      </c>
      <c r="B19" t="s">
        <v>560</v>
      </c>
      <c r="C19" t="s">
        <v>523</v>
      </c>
      <c r="D19" t="s">
        <v>561</v>
      </c>
      <c r="E19" t="s">
        <v>537</v>
      </c>
      <c r="F19" s="6"/>
    </row>
    <row r="20" spans="1:6" x14ac:dyDescent="0.2">
      <c r="A20" t="s">
        <v>562</v>
      </c>
      <c r="B20" t="s">
        <v>444</v>
      </c>
      <c r="C20" t="s">
        <v>523</v>
      </c>
      <c r="D20" t="s">
        <v>561</v>
      </c>
      <c r="E20" t="s">
        <v>537</v>
      </c>
      <c r="F20" s="6"/>
    </row>
    <row r="21" spans="1:6" x14ac:dyDescent="0.2">
      <c r="A21" t="s">
        <v>563</v>
      </c>
      <c r="B21" t="s">
        <v>533</v>
      </c>
      <c r="C21" t="s">
        <v>545</v>
      </c>
      <c r="D21" t="s">
        <v>561</v>
      </c>
      <c r="E21" t="s">
        <v>537</v>
      </c>
      <c r="F21" s="6"/>
    </row>
    <row r="22" spans="1:6" x14ac:dyDescent="0.2">
      <c r="A22" t="s">
        <v>564</v>
      </c>
      <c r="B22" t="s">
        <v>565</v>
      </c>
      <c r="C22" t="s">
        <v>523</v>
      </c>
      <c r="D22" t="s">
        <v>561</v>
      </c>
      <c r="E22" t="s">
        <v>537</v>
      </c>
      <c r="F22" s="6"/>
    </row>
    <row r="23" spans="1:6" x14ac:dyDescent="0.2">
      <c r="A23" t="s">
        <v>566</v>
      </c>
      <c r="B23" t="s">
        <v>567</v>
      </c>
      <c r="C23" t="s">
        <v>545</v>
      </c>
      <c r="D23" t="s">
        <v>561</v>
      </c>
      <c r="E23" t="s">
        <v>537</v>
      </c>
      <c r="F23" s="6"/>
    </row>
    <row r="24" spans="1:6" x14ac:dyDescent="0.2">
      <c r="A24" t="s">
        <v>568</v>
      </c>
      <c r="B24" t="s">
        <v>569</v>
      </c>
      <c r="C24" t="s">
        <v>545</v>
      </c>
      <c r="D24" t="s">
        <v>561</v>
      </c>
      <c r="E24" t="s">
        <v>534</v>
      </c>
      <c r="F24" s="6"/>
    </row>
    <row r="25" spans="1:6" x14ac:dyDescent="0.2">
      <c r="A25" t="s">
        <v>571</v>
      </c>
      <c r="B25" t="s">
        <v>572</v>
      </c>
      <c r="C25" t="s">
        <v>523</v>
      </c>
      <c r="D25" t="s">
        <v>561</v>
      </c>
      <c r="E25" t="s">
        <v>537</v>
      </c>
      <c r="F25" s="6"/>
    </row>
    <row r="27" spans="1:6" x14ac:dyDescent="0.2">
      <c r="A27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Plots</vt:lpstr>
      <vt:lpstr>Tasks</vt:lpstr>
      <vt:lpstr>Equipment</vt:lpstr>
      <vt:lpstr>Inventory</vt:lpstr>
      <vt:lpstr>Roster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Mccallum, Dillon Thomas</dc:creator>
  <cp:lastModifiedBy>Mccallum, Dillon Thomas</cp:lastModifiedBy>
  <dcterms:created xsi:type="dcterms:W3CDTF">2026-07-28T13:21:20Z</dcterms:created>
  <dcterms:modified xsi:type="dcterms:W3CDTF">2026-08-31T15:26:52Z</dcterms:modified>
</cp:coreProperties>
</file>